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Como usar" sheetId="1" state="visible" r:id="rId1"/>
    <sheet name="Diagnostico" sheetId="2" state="visible" r:id="rId2"/>
    <sheet name="Painel" sheetId="3" state="visible" r:id="rId3"/>
    <sheet name="Niveis de capacidade" sheetId="4" state="visible" r:id="rId4"/>
  </sheets>
  <definedNames>
    <definedName name="_xlnm._FilterDatabase" localSheetId="1" hidden="1">'Diagnostico'!$A$1:$R$117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color rgb="FF000000"/>
      <sz val="11"/>
    </font>
    <font>
      <name val="Arial"/>
      <charset val="1"/>
      <b val="1"/>
      <color rgb="FF1F4E79"/>
      <sz val="13"/>
    </font>
    <font>
      <name val="Arial"/>
      <charset val="1"/>
      <b val="1"/>
      <color rgb="FF000000"/>
      <sz val="11"/>
    </font>
    <font>
      <name val="Arial"/>
      <charset val="1"/>
      <color rgb="FFF2F2F2"/>
      <sz val="11"/>
    </font>
    <font>
      <name val="Arial"/>
      <charset val="1"/>
      <b val="1"/>
      <color rgb="FFFFC7CE"/>
      <sz val="11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charset val="1"/>
      <b val="1"/>
      <sz val="9"/>
    </font>
    <font>
      <name val="Arial"/>
      <charset val="1"/>
      <b val="1"/>
      <color rgb="FF1F4E79"/>
      <sz val="14"/>
    </font>
    <font>
      <name val="Arial"/>
      <charset val="1"/>
      <i val="1"/>
      <sz val="9"/>
    </font>
    <font>
      <name val="Arial"/>
      <charset val="1"/>
      <b val="1"/>
      <sz val="10"/>
    </font>
    <font>
      <name val="Arial"/>
      <charset val="1"/>
      <b val="1"/>
      <color rgb="FF1F4E79"/>
      <sz val="12"/>
    </font>
    <font>
      <name val="Arial"/>
      <family val="2"/>
      <b val="1"/>
      <color rgb="FFC6EFCE"/>
      <sz val="11"/>
    </font>
    <font>
      <name val="Calibri"/>
      <charset val="1"/>
      <family val="2"/>
      <b val="1"/>
      <color theme="1"/>
      <sz val="11"/>
    </font>
    <font>
      <name val="Arial"/>
      <family val="2"/>
      <b val="1"/>
      <color rgb="FFFFEB9C"/>
      <sz val="11"/>
    </font>
    <font>
      <name val="Arial"/>
      <family val="2"/>
      <b val="1"/>
      <color rgb="FFFCE4D6"/>
      <sz val="11"/>
    </font>
    <font>
      <name val="Arial"/>
      <family val="2"/>
      <b val="1"/>
      <color rgb="FFFFC7CE"/>
      <sz val="11"/>
    </font>
    <font>
      <b val="1"/>
      <color rgb="009C6500"/>
    </font>
    <font>
      <b val="1"/>
      <color rgb="00375623"/>
    </font>
    <font>
      <b val="1"/>
      <color rgb="00006100"/>
    </font>
    <font>
      <b val="1"/>
      <color rgb="00555555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6E4F0"/>
      </patternFill>
    </fill>
    <fill>
      <patternFill patternType="solid">
        <fgColor rgb="FFEAD1DC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10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12" fillId="9" borderId="1" pivotButton="0" quotePrefix="0" xfId="0"/>
    <xf numFmtId="0" fontId="0" fillId="9" borderId="1" pivotButton="0" quotePrefix="0" xfId="0"/>
    <xf numFmtId="0" fontId="12" fillId="9" borderId="1" applyAlignment="1" pivotButton="0" quotePrefix="0" xfId="0">
      <alignment horizontal="center"/>
    </xf>
    <xf numFmtId="9" fontId="12" fillId="9" borderId="1" applyAlignment="1" pivotButton="0" quotePrefix="0" xfId="0">
      <alignment horizontal="center"/>
    </xf>
    <xf numFmtId="0" fontId="13" fillId="0" borderId="0" pivotButton="0" quotePrefix="0" xfId="0"/>
    <xf numFmtId="0" fontId="9" fillId="3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9" fillId="5" borderId="1" pivotButton="0" quotePrefix="0" xfId="0"/>
    <xf numFmtId="0" fontId="9" fillId="7" borderId="1" pivotButton="0" quotePrefix="0" xfId="0"/>
    <xf numFmtId="0" fontId="7" fillId="2" borderId="1" pivotButton="0" quotePrefix="0" xfId="0"/>
    <xf numFmtId="0" fontId="12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1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EAD1DC"/>
      <rgbColor rgb="FFFCE4D6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tabSelected="1" zoomScaleNormal="100" workbookViewId="0">
      <selection activeCell="B9" sqref="B9"/>
    </sheetView>
  </sheetViews>
  <sheetFormatPr baseColWidth="8" defaultColWidth="8.7109375" defaultRowHeight="15"/>
  <cols>
    <col width="140" customWidth="1" min="1" max="1"/>
  </cols>
  <sheetData>
    <row r="1" ht="24" customHeight="1">
      <c r="A1" s="2" t="inlineStr">
        <is>
          <t>GUIA PRATICO MR-MPS-SW:2024 - DIAGNOSTICO E IMPLEMENTACAO ATE NIVEL C</t>
        </is>
      </c>
    </row>
    <row r="2" ht="7.5" customHeight="1">
      <c r="A2" s="3" t="n"/>
    </row>
    <row r="3" ht="24" customHeight="1">
      <c r="A3" s="4" t="inlineStr">
        <is>
          <t>O que e este arquivo</t>
        </is>
      </c>
    </row>
    <row r="4" ht="31.5" customHeight="1">
      <c r="A4" s="3" t="inlineStr">
        <is>
          <t>Instrumento de trabalho para (1) diagnosticar empiricamente em que nivel a unidade organizacional esta e (2) implementar, item a item, todos os resultados esperados (RE) cumulativos ate o nivel C.</t>
        </is>
      </c>
    </row>
    <row r="5" ht="63.75" customHeight="1">
      <c r="A5" s="3" t="inlineStr">
        <is>
          <t>Base normativa: Guia Geral MPS de Software:2024 (SOFTEX). O texto de cada RE e literal do guia. As colunas 'Como checar', 'Evidencia', 'Como implementar', 'Erro comum' e 'Ferramenta' sao BOAS PRATICAS de mercado alinhadas ao RE - NAO sao regras oficiais da SOFTEX (o guia nao define como implementar; isso fica a cargo da organizacao).</t>
        </is>
      </c>
    </row>
    <row r="6" ht="7.5" customHeight="1">
      <c r="A6" s="3" t="n"/>
    </row>
    <row r="7" ht="24" customHeight="1">
      <c r="A7" s="4" t="inlineStr">
        <is>
          <t>Abas do arquivo</t>
        </is>
      </c>
    </row>
    <row r="8" ht="18" customHeight="1">
      <c r="A8" s="3" t="inlineStr">
        <is>
          <t>1. Como usar - esta aba.</t>
        </is>
      </c>
    </row>
    <row r="9" ht="31.5" customHeight="1">
      <c r="A9" s="3" t="inlineStr">
        <is>
          <t>2. Diagnostico - a planilha principal. Uma linha por RE. Preencha Status, Evidencia encontrada, Responsavel, Prazo.</t>
        </is>
      </c>
    </row>
    <row r="10" ht="18" customHeight="1">
      <c r="A10" s="3" t="inlineStr">
        <is>
          <t>3. Painel - resumo automatico do percentual de implementacao por processo e por nivel.</t>
        </is>
      </c>
    </row>
    <row r="11" ht="18" customHeight="1">
      <c r="A11" s="3" t="inlineStr">
        <is>
          <t>4. Niveis de capacidade - o que cada CP exige (transversal a todos os processos).</t>
        </is>
      </c>
    </row>
    <row r="12" ht="7.5" customHeight="1">
      <c r="A12" s="3" t="n"/>
    </row>
    <row r="13" ht="24" customHeight="1">
      <c r="A13" s="4" t="inlineStr">
        <is>
          <t>Como fazer o diagnostico empirico (passo a passo)</t>
        </is>
      </c>
    </row>
    <row r="14" ht="18" customHeight="1">
      <c r="A14" s="5" t="inlineStr">
        <is>
          <t>Para CADA linha da aba Diagnostico:</t>
        </is>
      </c>
    </row>
    <row r="15" ht="18" customHeight="1">
      <c r="A15" s="3" t="inlineStr">
        <is>
          <t>Passo 1 - Leia a coluna 'Como checar'. E uma pergunta de verificacao objetiva.</t>
        </is>
      </c>
    </row>
    <row r="16" ht="31.5" customHeight="1">
      <c r="A16" s="3" t="inlineStr">
        <is>
          <t>Passo 2 - Procure a evidencia real (a coluna 'Evidencia esperada' diz o artefato minimo). NAO aceite 'a gente faz mas nao registra' - sem artefato, nao conta.</t>
        </is>
      </c>
    </row>
    <row r="17" ht="18" customHeight="1">
      <c r="A17" s="3" t="inlineStr">
        <is>
          <t>Passo 3 - Classifique o Status (use a lista suspensa):</t>
        </is>
      </c>
    </row>
    <row r="18" ht="18" customFormat="1" customHeight="1" s="41">
      <c r="A18" s="40" t="inlineStr">
        <is>
          <t xml:space="preserve">      T = Totalmente implementado (evidencia existe, completa, usada em projetos reais)</t>
        </is>
      </c>
    </row>
    <row r="19" ht="18" customFormat="1" customHeight="1" s="41">
      <c r="A19" s="42" t="inlineStr">
        <is>
          <t xml:space="preserve">      L = Largamente implementado (existe, mas com lacunas pequenas)</t>
        </is>
      </c>
    </row>
    <row r="20" ht="18" customFormat="1" customHeight="1" s="41">
      <c r="A20" s="43" t="inlineStr">
        <is>
          <t xml:space="preserve">      P = Parcialmente implementado (existe so em parte / sem consistencia)</t>
        </is>
      </c>
    </row>
    <row r="21" ht="18" customFormat="1" customHeight="1" s="41">
      <c r="A21" s="44" t="inlineStr">
        <is>
          <t xml:space="preserve">      N = Nao implementado (nao existe evidencia)</t>
        </is>
      </c>
    </row>
    <row r="22" ht="18" customHeight="1">
      <c r="A22" s="6" t="inlineStr">
        <is>
          <t xml:space="preserve">      NA = Nao se aplica (so para itens excluiveis: AQU, OSW 8-10)</t>
        </is>
      </c>
    </row>
    <row r="23" ht="18" customHeight="1">
      <c r="A23" s="3" t="inlineStr">
        <is>
          <t>Passo 4 - Anote onde esta a evidencia (link/caminho) na coluna 'Evidencia encontrada'.</t>
        </is>
      </c>
    </row>
    <row r="24" ht="31.5" customHeight="1">
      <c r="A24" s="3" t="inlineStr">
        <is>
          <t>Passo 5 - Se Status for P ou N, use 'Como implementar', 'Erro comum' e 'Ferramenta' para planejar a acao. Atribua Responsavel e Prazo.</t>
        </is>
      </c>
    </row>
    <row r="25" ht="7.5" customHeight="1">
      <c r="A25" s="3" t="n"/>
    </row>
    <row r="26" ht="24" customHeight="1">
      <c r="A26" s="4" t="inlineStr">
        <is>
          <t>Regra de aprovacao (importante)</t>
        </is>
      </c>
    </row>
    <row r="27" ht="31.5" customHeight="1">
      <c r="A27" s="7" t="inlineStr">
        <is>
          <t>Para a unidade ser avaliada no nivel C, TODO RE cumulativo (G+F+E+D+C) precisa estar T ou L. Qualquer P ou N em um RE reprova o processo, e um processo reprovado reprova o nivel.</t>
        </is>
      </c>
    </row>
    <row r="28" ht="31.5" customHeight="1">
      <c r="A28" s="3" t="inlineStr">
        <is>
          <t>Os niveis E, D e C compartilham a mesma capacidade (CP-E/D/C). O salto de maturidade acontece em E. De E ate C sao evolucoes incrementais de OSW, MED e AQU.</t>
        </is>
      </c>
    </row>
    <row r="29" ht="7.5" customHeight="1">
      <c r="A29" s="3" t="n"/>
    </row>
    <row r="30" ht="24" customHeight="1">
      <c r="A30" s="4" t="inlineStr">
        <is>
          <t>Itens marcados 'REQUERIDO'</t>
        </is>
      </c>
    </row>
    <row r="31" ht="48" customHeight="1">
      <c r="A31" s="3" t="inlineStr">
        <is>
          <t>Itens com 'Requerido = Sim' tem exigencias textuais nao negociaveis no guia (ex: registro de riscos obrigatorio; HH nao e dimensao; definicao operacional de medida completa). Nesses, nao ha margem de interpretacao do avaliador.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" sqref="A1"/>
    </sheetView>
  </sheetViews>
  <sheetFormatPr baseColWidth="8" defaultColWidth="8.7109375" defaultRowHeight="15"/>
  <cols>
    <col width="4" customWidth="1" min="1" max="1"/>
    <col width="13" customWidth="1" min="2" max="2"/>
    <col width="26" customWidth="1" min="3" max="3"/>
    <col width="11" customWidth="1" min="4" max="4"/>
    <col width="18" customWidth="1" min="5" max="5"/>
    <col width="7" customWidth="1" min="6" max="6"/>
    <col width="10" customWidth="1" min="7" max="7"/>
    <col width="52" customWidth="1" min="8" max="8"/>
    <col width="46" customWidth="1" min="9" max="9"/>
    <col width="34" customWidth="1" min="10" max="10"/>
    <col width="60" customWidth="1" min="11" max="11"/>
    <col width="38" customWidth="1" min="12" max="12"/>
    <col width="30" customWidth="1" min="13" max="13"/>
    <col width="9" customWidth="1" min="14" max="14"/>
    <col width="52" customWidth="1" min="15" max="15"/>
    <col width="18" customWidth="1" min="16" max="16"/>
    <col width="12" customWidth="1" min="17" max="17"/>
    <col width="60" customWidth="1" min="18" max="18"/>
  </cols>
  <sheetData>
    <row r="1" ht="39.75" customHeight="1">
      <c r="A1" s="8" t="inlineStr">
        <is>
          <t>#</t>
        </is>
      </c>
      <c r="B1" s="8" t="inlineStr">
        <is>
          <t>Grupo</t>
        </is>
      </c>
      <c r="C1" s="8" t="inlineStr">
        <is>
          <t>Processo</t>
        </is>
      </c>
      <c r="D1" s="8" t="inlineStr">
        <is>
          <t>Cod. Processo</t>
        </is>
      </c>
      <c r="E1" s="8" t="inlineStr">
        <is>
          <t>ID do RE</t>
        </is>
      </c>
      <c r="F1" s="8" t="inlineStr">
        <is>
          <t>Nivel</t>
        </is>
      </c>
      <c r="G1" s="8" t="inlineStr">
        <is>
          <t>Requerido</t>
        </is>
      </c>
      <c r="H1" s="8" t="inlineStr">
        <is>
          <t>Resultado Esperado (texto do guia)</t>
        </is>
      </c>
      <c r="I1" s="8" t="inlineStr">
        <is>
          <t>Como checar (verificacao)</t>
        </is>
      </c>
      <c r="J1" s="8" t="inlineStr">
        <is>
          <t>Evidencia esperada</t>
        </is>
      </c>
      <c r="K1" s="8" t="inlineStr">
        <is>
          <t>Como implementar (boa pratica)</t>
        </is>
      </c>
      <c r="L1" s="8" t="inlineStr">
        <is>
          <t>Erro comum</t>
        </is>
      </c>
      <c r="M1" s="8" t="inlineStr">
        <is>
          <t>Ferramenta sugerida</t>
        </is>
      </c>
      <c r="N1" s="8" t="inlineStr">
        <is>
          <t>STATUS</t>
        </is>
      </c>
      <c r="O1" s="8" t="inlineStr">
        <is>
          <t>Evidencia encontrada (link/onde)</t>
        </is>
      </c>
      <c r="P1" s="8" t="inlineStr">
        <is>
          <t>Responsavel</t>
        </is>
      </c>
      <c r="Q1" s="8" t="inlineStr">
        <is>
          <t>Prazo</t>
        </is>
      </c>
      <c r="R1" s="8" t="inlineStr">
        <is>
          <t>Observacoes</t>
        </is>
      </c>
    </row>
    <row r="2" ht="48" customHeight="1">
      <c r="A2" s="9" t="n">
        <v>1</v>
      </c>
      <c r="B2" s="9" t="inlineStr">
        <is>
          <t>Projeto</t>
        </is>
      </c>
      <c r="C2" s="9" t="inlineStr">
        <is>
          <t>Gerencia de Projetos</t>
        </is>
      </c>
      <c r="D2" s="9" t="inlineStr">
        <is>
          <t>GPR</t>
        </is>
      </c>
      <c r="E2" s="9" t="inlineStr">
        <is>
          <t>GPR 1</t>
        </is>
      </c>
      <c r="F2" s="10" t="inlineStr">
        <is>
          <t>G</t>
        </is>
      </c>
      <c r="G2" s="11" t="inlineStr">
        <is>
          <t>Nao</t>
        </is>
      </c>
      <c r="H2" s="9" t="inlineStr">
        <is>
          <t>O escopo do trabalho para o projeto e estabelecido, mantido atualizado e utilizado.</t>
        </is>
      </c>
      <c r="I2" s="9" t="inlineStr">
        <is>
          <t>Existe documento de escopo do projeto? Ele e atualizado quando ha mudancas? A equipe o usa para decidir o que esta dentro/fora?</t>
        </is>
      </c>
      <c r="J2" s="9" t="inlineStr">
        <is>
          <t>Documento de escopo / declaracao de escopo no plano de projeto, com historico de revisao.</t>
        </is>
      </c>
      <c r="K2" s="9" t="inlineStr">
        <is>
          <t>1) Crie um campo/secao 'Escopo' no template de plano de projeto. 2) Liste o que esta incluido e o que esta excluido. 3) Vincule o escopo a um item de configuracao versionado. 4) Toda mudanca de escopo gera nova versao.</t>
        </is>
      </c>
      <c r="L2" s="9" t="inlineStr">
        <is>
          <t>Escopo escrito uma vez e nunca atualizado, ou misturado com requisitos sem fronteira clara.</t>
        </is>
      </c>
      <c r="M2" s="9" t="inlineStr">
        <is>
          <t>Jira (epics/descricao do projeto), Confluence, template de plano de projeto.</t>
        </is>
      </c>
      <c r="N2" s="45" t="inlineStr">
        <is>
          <t>P</t>
        </is>
      </c>
      <c r="O2" s="9" t="inlineStr">
        <is>
          <t>PRO-GPR-001 §4; TPL-GPR-002 (Termo de Abertura) / TPL-GPR-001 (Plano)</t>
        </is>
      </c>
      <c r="P2" s="9" t="n"/>
      <c r="Q2" s="9" t="n"/>
      <c r="R2" s="9" t="inlineStr">
        <is>
          <t>Definicao/processo e template prontos no git; evidencia de execucao por projeto pendente (4 projetos da amostra nao selecionados).</t>
        </is>
      </c>
    </row>
    <row r="3" ht="60" customHeight="1">
      <c r="A3" s="9" t="n">
        <v>2</v>
      </c>
      <c r="B3" s="9" t="inlineStr">
        <is>
          <t>Projeto</t>
        </is>
      </c>
      <c r="C3" s="9" t="inlineStr">
        <is>
          <t>Gerencia de Projetos</t>
        </is>
      </c>
      <c r="D3" s="9" t="inlineStr">
        <is>
          <t>GPR</t>
        </is>
      </c>
      <c r="E3" s="9" t="inlineStr">
        <is>
          <t>GPR 2 (ate E)</t>
        </is>
      </c>
      <c r="F3" s="10" t="inlineStr">
        <is>
          <t>G</t>
        </is>
      </c>
      <c r="G3" s="13" t="inlineStr">
        <is>
          <t>Sim</t>
        </is>
      </c>
      <c r="H3" s="9" t="inlineStr">
        <is>
          <t>O processo a ser utilizado para a execucao do projeto e descrito, mantido atualizado e utilizado. (Item requerido: nos niveis G e F a descricao do processo para o projeto deve conter, pelo menos, o ciclo de vida do projeto e a lista de tarefas que serao executadas.)</t>
        </is>
      </c>
      <c r="I3" s="9" t="inlineStr">
        <is>
          <t>O projeto tem o ciclo de vida descrito (fases) e a lista de tarefas? Esta documentado e e seguido?</t>
        </is>
      </c>
      <c r="J3" s="9" t="inlineStr">
        <is>
          <t>Descricao do ciclo de vida do projeto + lista de tarefas (WBS/quadro de tarefas).</t>
        </is>
      </c>
      <c r="K3" s="9" t="inlineStr">
        <is>
          <t>1) Documente as fases do ciclo de vida (ex: analise, dev, teste, entrega). 2) Liste as tarefas tipicas de cada fase. 3) Registre isso no plano do projeto. 4) Garanta que o time siga essa sequencia.</t>
        </is>
      </c>
      <c r="L3" s="9" t="inlineStr">
        <is>
          <t>Confundir 'processo do projeto' com 'metodologia da empresa' sem registrar ciclo de vida e tarefas concretas.</t>
        </is>
      </c>
      <c r="M3" s="9" t="inlineStr">
        <is>
          <t>Jira (board com colunas=fases), Confluence.</t>
        </is>
      </c>
      <c r="N3" s="45" t="inlineStr">
        <is>
          <t>P</t>
        </is>
      </c>
      <c r="O3" s="9" t="inlineStr">
        <is>
          <t>PRO-GPC-001 (processo-padrao, 7 fases); TPL-GPR-003 (Adaptacao)</t>
        </is>
      </c>
      <c r="P3" s="9" t="n"/>
      <c r="Q3" s="9" t="n"/>
      <c r="R3" s="9" t="inlineStr">
        <is>
          <t>Definicao/processo e template prontos no git; evidencia de execucao por projeto pendente (4 projetos da amostra nao selecionados).</t>
        </is>
      </c>
    </row>
    <row r="4" ht="36" customHeight="1">
      <c r="A4" s="9" t="n">
        <v>3</v>
      </c>
      <c r="B4" s="9" t="inlineStr">
        <is>
          <t>Projeto</t>
        </is>
      </c>
      <c r="C4" s="9" t="inlineStr">
        <is>
          <t>Gerencia de Projetos</t>
        </is>
      </c>
      <c r="D4" s="9" t="inlineStr">
        <is>
          <t>GPR</t>
        </is>
      </c>
      <c r="E4" s="9" t="inlineStr">
        <is>
          <t>GPR 2+ (a partir de D)</t>
        </is>
      </c>
      <c r="F4" s="14" t="inlineStr">
        <is>
          <t>D</t>
        </is>
      </c>
      <c r="G4" s="11" t="inlineStr">
        <is>
          <t>Nao</t>
        </is>
      </c>
      <c r="H4" s="9" t="inlineStr">
        <is>
          <t>O processo definido para o projeto, derivado da estrategia para adaptacao do processo da organizacao, e estabelecido, mantido atualizado e utilizado.</t>
        </is>
      </c>
      <c r="I4" s="9" t="inlineStr">
        <is>
          <t>O processo do projeto foi DERIVADO do processo padrao organizacional aplicando as diretrizes de adaptacao (tailoring)? Ha registro dessa adaptacao?</t>
        </is>
      </c>
      <c r="J4" s="9" t="inlineStr">
        <is>
          <t>Registro de adaptacao (tailoring) do processo padrao para este projeto.</t>
        </is>
      </c>
      <c r="K4" s="9" t="inlineStr">
        <is>
          <t>1) Tenha o processo padrao organizacional pronto (ver GPC). 2) Crie um formulario de adaptacao. 3) Para cada projeto, registre o que foi mantido/alterado/removido e por que. 4) Aprovacao do responsavel.</t>
        </is>
      </c>
      <c r="L4" s="9" t="inlineStr">
        <is>
          <t>Cada projeto inventa o proprio processo sem partir do padrao = falha de capacidade CP-E/D/C.</t>
        </is>
      </c>
      <c r="M4" s="9" t="inlineStr">
        <is>
          <t>Confluence (pagina de tailoring por projeto), template de adaptacao.</t>
        </is>
      </c>
      <c r="N4" s="45" t="inlineStr">
        <is>
          <t>P</t>
        </is>
      </c>
      <c r="O4" s="9" t="inlineStr">
        <is>
          <t>GUIA-GPC-001 (Guia de Adaptacao) + TPL-GPR-003 (Tailoring)</t>
        </is>
      </c>
      <c r="P4" s="9" t="n"/>
      <c r="Q4" s="9" t="n"/>
      <c r="R4" s="9" t="inlineStr">
        <is>
          <t>Definicao/processo e template prontos no git; evidencia de execucao por projeto pendente (4 projetos da amostra nao selecionados).</t>
        </is>
      </c>
    </row>
    <row r="5" ht="36" customHeight="1">
      <c r="A5" s="9" t="n">
        <v>4</v>
      </c>
      <c r="B5" s="9" t="inlineStr">
        <is>
          <t>Projeto</t>
        </is>
      </c>
      <c r="C5" s="9" t="inlineStr">
        <is>
          <t>Gerencia de Projetos</t>
        </is>
      </c>
      <c r="D5" s="9" t="inlineStr">
        <is>
          <t>GPR</t>
        </is>
      </c>
      <c r="E5" s="9" t="inlineStr">
        <is>
          <t>GPR 3 (ate E)</t>
        </is>
      </c>
      <c r="F5" s="10" t="inlineStr">
        <is>
          <t>G</t>
        </is>
      </c>
      <c r="G5" s="13" t="inlineStr">
        <is>
          <t>Sim</t>
        </is>
      </c>
      <c r="H5" s="9" t="inlineStr">
        <is>
          <t>Estimativas de dimensao da solucao sao estabelecidas e mantidas atualizadas. (Item requerido: HH nao pode ser considerada como dimensao.)</t>
        </is>
      </c>
      <c r="I5" s="9" t="inlineStr">
        <is>
          <t>Existe estimativa de TAMANHO da solucao (pontos de funcao, story points, etc.) - separada de esforco? HH NAO esta sendo usado como dimensao?</t>
        </is>
      </c>
      <c r="J5" s="9" t="inlineStr">
        <is>
          <t>Planilha/registro de estimativa de dimensao (PF, story points) com data.</t>
        </is>
      </c>
      <c r="K5" s="9" t="inlineStr">
        <is>
          <t>1) Escolha uma metrica de dimensao (PF e a do edital CEMIG). 2) Estime a dimensao ANTES do esforco. 3) Registre o metodo. 4) Atualize quando o escopo mudar. NUNCA use horas como dimensao.</t>
        </is>
      </c>
      <c r="L5" s="9" t="inlineStr">
        <is>
          <t>Usar homem-hora como se fosse tamanho - explicitamente proibido pelo guia.</t>
        </is>
      </c>
      <c r="M5" s="9" t="inlineStr">
        <is>
          <t>Planilha de contagem de PF, ferramentas de APF, planning poker para story points.</t>
        </is>
      </c>
      <c r="N5" s="45" t="inlineStr">
        <is>
          <t>P</t>
        </is>
      </c>
      <c r="O5" s="9" t="inlineStr">
        <is>
          <t>PRO-GPR-001 §5 (dimensao em story points / planning poker)</t>
        </is>
      </c>
      <c r="P5" s="9" t="n"/>
      <c r="Q5" s="9" t="n"/>
      <c r="R5" s="9" t="inlineStr">
        <is>
          <t>Definicao/processo e template prontos no git; evidencia de execucao por projeto pendente (4 projetos da amostra nao selecionados).</t>
        </is>
      </c>
    </row>
    <row r="6" ht="36" customHeight="1">
      <c r="A6" s="9" t="n">
        <v>5</v>
      </c>
      <c r="B6" s="9" t="inlineStr">
        <is>
          <t>Projeto</t>
        </is>
      </c>
      <c r="C6" s="9" t="inlineStr">
        <is>
          <t>Gerencia de Projetos</t>
        </is>
      </c>
      <c r="D6" s="9" t="inlineStr">
        <is>
          <t>GPR</t>
        </is>
      </c>
      <c r="E6" s="9" t="inlineStr">
        <is>
          <t>GPR 3+ (a partir de D)</t>
        </is>
      </c>
      <c r="F6" s="14" t="inlineStr">
        <is>
          <t>D</t>
        </is>
      </c>
      <c r="G6" s="11" t="inlineStr">
        <is>
          <t>Nao</t>
        </is>
      </c>
      <c r="H6" s="9" t="inlineStr">
        <is>
          <t>Estimativas de dimensao da solucao sao estabelecidas com a utilizacao de metodos apropriados e documentados, e sao mantidas atualizadas.</t>
        </is>
      </c>
      <c r="I6" s="9" t="inlineStr">
        <is>
          <t>O metodo de estimativa de dimensao esta documentado e padronizado na organizacao (nao improvisado por projeto)?</t>
        </is>
      </c>
      <c r="J6" s="9" t="inlineStr">
        <is>
          <t>Procedimento documentado de estimativa de dimensao + aplicacao registrada.</t>
        </is>
      </c>
      <c r="K6" s="9" t="inlineStr">
        <is>
          <t>1) Documente o metodo (ex: roteiro de contagem de PF da CEMIG). 2) Treine a equipe. 3) Aplique consistentemente. 4) Versione o procedimento.</t>
        </is>
      </c>
      <c r="L6" s="9" t="inlineStr">
        <is>
          <t>Metodo na cabeca de uma pessoa, sem documentacao reaproveitavel.</t>
        </is>
      </c>
      <c r="M6" s="9" t="inlineStr">
        <is>
          <t>Roteiro de metricas, Confluence.</t>
        </is>
      </c>
      <c r="N6" s="45" t="inlineStr">
        <is>
          <t>P</t>
        </is>
      </c>
      <c r="O6" s="9" t="inlineStr">
        <is>
          <t>PRO-GPR-001 §5 (metodo de estimativa documentado)</t>
        </is>
      </c>
      <c r="P6" s="9" t="n"/>
      <c r="Q6" s="9" t="n"/>
      <c r="R6" s="9" t="inlineStr">
        <is>
          <t>Definicao/processo e template prontos no git; evidencia de execucao por projeto pendente (4 projetos da amostra nao selecionados).</t>
        </is>
      </c>
    </row>
    <row r="7" ht="60" customHeight="1">
      <c r="A7" s="9" t="n">
        <v>6</v>
      </c>
      <c r="B7" s="9" t="inlineStr">
        <is>
          <t>Projeto</t>
        </is>
      </c>
      <c r="C7" s="9" t="inlineStr">
        <is>
          <t>Gerencia de Projetos</t>
        </is>
      </c>
      <c r="D7" s="9" t="inlineStr">
        <is>
          <t>GPR</t>
        </is>
      </c>
      <c r="E7" s="9" t="inlineStr">
        <is>
          <t>GPR 4 (ate E)</t>
        </is>
      </c>
      <c r="F7" s="10" t="inlineStr">
        <is>
          <t>G</t>
        </is>
      </c>
      <c r="G7" s="13" t="inlineStr">
        <is>
          <t>Sim</t>
        </is>
      </c>
      <c r="H7" s="9" t="inlineStr">
        <is>
          <t>Estimativas de esforco, duracao e custo para a execucao das tarefas e dos produtos de trabalho do projeto sao estabelecidas e justificadas. (Item requerido: devem ser derivadas das estimativas de dimensao; a justificativa deve conter um racional de como foram realizadas.)</t>
        </is>
      </c>
      <c r="I7" s="9" t="inlineStr">
        <is>
          <t>As estimativas de esforco/prazo/custo derivam da dimensao (GPR 3)? Ha justificativa registrada de COMO foram feitas?</t>
        </is>
      </c>
      <c r="J7" s="9" t="inlineStr">
        <is>
          <t>Planilha de estimativas com racional documentado, partindo da dimensao.</t>
        </is>
      </c>
      <c r="K7" s="9" t="inlineStr">
        <is>
          <t>1) Parta da dimensao (PF). 2) Use indice de produtividade (HH por PF) para chegar ao esforco. 3) Derive prazo e custo. 4) Escreva o racional ('X PF * Y HH/PF = Z HH').</t>
        </is>
      </c>
      <c r="L7" s="9" t="inlineStr">
        <is>
          <t>Estimar esforco 'no chute' sem ligacao com a dimensao, ou sem registrar o racional.</t>
        </is>
      </c>
      <c r="M7" s="9" t="inlineStr">
        <is>
          <t>Planilha de estimativas, dados historicos de produtividade.</t>
        </is>
      </c>
      <c r="N7" s="45" t="inlineStr">
        <is>
          <t>P</t>
        </is>
      </c>
      <c r="O7" s="9" t="inlineStr">
        <is>
          <t>PRO-GPR-001 §5 (esforco/prazo/custo a partir do tamanho)</t>
        </is>
      </c>
      <c r="P7" s="9" t="n"/>
      <c r="Q7" s="9" t="n"/>
      <c r="R7" s="9" t="inlineStr">
        <is>
          <t>Definicao/processo e template prontos no git; evidencia de execucao por projeto pendente (4 projetos da amostra nao selecionados).</t>
        </is>
      </c>
    </row>
    <row r="8" ht="60" customHeight="1">
      <c r="A8" s="9" t="n">
        <v>7</v>
      </c>
      <c r="B8" s="9" t="inlineStr">
        <is>
          <t>Projeto</t>
        </is>
      </c>
      <c r="C8" s="9" t="inlineStr">
        <is>
          <t>Gerencia de Projetos</t>
        </is>
      </c>
      <c r="D8" s="9" t="inlineStr">
        <is>
          <t>GPR</t>
        </is>
      </c>
      <c r="E8" s="9" t="inlineStr">
        <is>
          <t>GPR 4+ (a partir de D)</t>
        </is>
      </c>
      <c r="F8" s="14" t="inlineStr">
        <is>
          <t>D</t>
        </is>
      </c>
      <c r="G8" s="13" t="inlineStr">
        <is>
          <t>Sim</t>
        </is>
      </c>
      <c r="H8" s="9" t="inlineStr">
        <is>
          <t>Estimativas de esforco, duracao e custo sao estabelecidas e justificadas utilizando metodos apropriados, baseadas no repositorio organizacional de medidas e no conjunto de ativos de processo organizacional. (Item requerido: derivadas das estimativas de dimensao.)</t>
        </is>
      </c>
      <c r="I8" s="9" t="inlineStr">
        <is>
          <t>As estimativas usam dados do REPOSITORIO ORGANIZACIONAL de medidas (historico de varios projetos), nao so do projeto atual?</t>
        </is>
      </c>
      <c r="J8" s="9" t="inlineStr">
        <is>
          <t>Estimativa referenciando o repositorio organizacional de medidas.</t>
        </is>
      </c>
      <c r="K8" s="9" t="inlineStr">
        <is>
          <t>1) Construa o repositorio organizacional de medidas (ver GPC 9). 2) Calcule produtividade media historica. 3) Baseie novas estimativas nesses dados. 4) Registre a fonte.</t>
        </is>
      </c>
      <c r="L8" s="9" t="inlineStr">
        <is>
          <t>Ter repositorio mas nao usar nas estimativas; ou nao ter historico consolidado.</t>
        </is>
      </c>
      <c r="M8" s="9" t="inlineStr">
        <is>
          <t>Repositorio organizacional de medidas (planilha/BD), Power BI.</t>
        </is>
      </c>
      <c r="N8" s="45" t="inlineStr">
        <is>
          <t>P</t>
        </is>
      </c>
      <c r="O8" s="9" t="inlineStr">
        <is>
          <t>PRO-GPR-001 §5 + PLA-MED-001 (velocity/dados historicos = repositorio)</t>
        </is>
      </c>
      <c r="P8" s="9" t="n"/>
      <c r="Q8" s="9" t="n"/>
      <c r="R8" s="9" t="inlineStr">
        <is>
          <t>Definicao/processo e template prontos no git; evidencia de execucao por projeto pendente (4 projetos da amostra nao selecionados).</t>
        </is>
      </c>
    </row>
    <row r="9" ht="24" customHeight="1">
      <c r="A9" s="9" t="n">
        <v>8</v>
      </c>
      <c r="B9" s="9" t="inlineStr">
        <is>
          <t>Projeto</t>
        </is>
      </c>
      <c r="C9" s="9" t="inlineStr">
        <is>
          <t>Gerencia de Projetos</t>
        </is>
      </c>
      <c r="D9" s="9" t="inlineStr">
        <is>
          <t>GPR</t>
        </is>
      </c>
      <c r="E9" s="9" t="inlineStr">
        <is>
          <t>GPR 5</t>
        </is>
      </c>
      <c r="F9" s="10" t="inlineStr">
        <is>
          <t>G</t>
        </is>
      </c>
      <c r="G9" s="11" t="inlineStr">
        <is>
          <t>Nao</t>
        </is>
      </c>
      <c r="H9" s="9" t="inlineStr">
        <is>
          <t>O orcamento e o cronograma do projeto, incluindo a definicao de marcos, sao estabelecidos e mantidos atualizados.</t>
        </is>
      </c>
      <c r="I9" s="9" t="inlineStr">
        <is>
          <t>Existe cronograma com marcos e orcamento? Sao atualizados ao longo do projeto?</t>
        </is>
      </c>
      <c r="J9" s="9" t="inlineStr">
        <is>
          <t>Cronograma com marcos + orcamento, com versoes.</t>
        </is>
      </c>
      <c r="K9" s="9" t="inlineStr">
        <is>
          <t>1) Monte cronograma com marcos visiveis. 2) Associe orcamento. 3) Atualize a cada replanejamento. 4) Versione.</t>
        </is>
      </c>
      <c r="L9" s="9" t="inlineStr">
        <is>
          <t>Cronograma feito no inicio e nunca mais tocado.</t>
        </is>
      </c>
      <c r="M9" s="9" t="inlineStr">
        <is>
          <t>MS Project, Jira (roadmap), planilha de cronograma.</t>
        </is>
      </c>
      <c r="N9" s="45" t="inlineStr">
        <is>
          <t>P</t>
        </is>
      </c>
      <c r="O9" s="9" t="inlineStr">
        <is>
          <t>TPL-GPR-001 (cronograma/orcamento) + Jira</t>
        </is>
      </c>
      <c r="P9" s="9" t="n"/>
      <c r="Q9" s="9" t="n"/>
      <c r="R9" s="9" t="inlineStr">
        <is>
          <t>Definicao/processo e template prontos no git; evidencia de execucao por projeto pendente (4 projetos da amostra nao selecionados).</t>
        </is>
      </c>
    </row>
    <row r="10" ht="36" customHeight="1">
      <c r="A10" s="9" t="n">
        <v>9</v>
      </c>
      <c r="B10" s="9" t="inlineStr">
        <is>
          <t>Projeto</t>
        </is>
      </c>
      <c r="C10" s="9" t="inlineStr">
        <is>
          <t>Gerencia de Projetos</t>
        </is>
      </c>
      <c r="D10" s="9" t="inlineStr">
        <is>
          <t>GPR</t>
        </is>
      </c>
      <c r="E10" s="9" t="inlineStr">
        <is>
          <t>GPR 6</t>
        </is>
      </c>
      <c r="F10" s="10" t="inlineStr">
        <is>
          <t>G</t>
        </is>
      </c>
      <c r="G10" s="11" t="inlineStr">
        <is>
          <t>Nao</t>
        </is>
      </c>
      <c r="H10" s="9" t="inlineStr">
        <is>
          <t>Os recursos humanos para o projeto sao planejados considerando as habilidades e os conhecimentos necessarios para executa-lo.</t>
        </is>
      </c>
      <c r="I10" s="9" t="inlineStr">
        <is>
          <t>Ha planejamento de quem trabalha no projeto, considerando habilidades necessarias?</t>
        </is>
      </c>
      <c r="J10" s="9" t="inlineStr">
        <is>
          <t>Plano de alocacao de pessoas com perfil/habilidade requerida.</t>
        </is>
      </c>
      <c r="K10" s="9" t="inlineStr">
        <is>
          <t>1) Liste as habilidades que o projeto exige. 2) Mapeie quem tem. 3) Registre a alocacao. 4) Se faltar habilidade, planeje treinamento/contratacao (liga com CAP).</t>
        </is>
      </c>
      <c r="L10" s="9" t="inlineStr">
        <is>
          <t>Alocar pessoas por disponibilidade sem olhar competencia.</t>
        </is>
      </c>
      <c r="M10" s="9" t="inlineStr">
        <is>
          <t>Matriz de competencias, plano de projeto.</t>
        </is>
      </c>
      <c r="N10" s="45" t="inlineStr">
        <is>
          <t>P</t>
        </is>
      </c>
      <c r="O10" s="9" t="inlineStr">
        <is>
          <t>TPL-GPR-001 (plano de recursos humanos)</t>
        </is>
      </c>
      <c r="P10" s="9" t="n"/>
      <c r="Q10" s="9" t="n"/>
      <c r="R10" s="9" t="inlineStr">
        <is>
          <t>Definicao/processo e template prontos no git; evidencia de execucao por projeto pendente (4 projetos da amostra nao selecionados).</t>
        </is>
      </c>
    </row>
    <row r="11" ht="36" customHeight="1">
      <c r="A11" s="9" t="n">
        <v>10</v>
      </c>
      <c r="B11" s="9" t="inlineStr">
        <is>
          <t>Projeto</t>
        </is>
      </c>
      <c r="C11" s="9" t="inlineStr">
        <is>
          <t>Gerencia de Projetos</t>
        </is>
      </c>
      <c r="D11" s="9" t="inlineStr">
        <is>
          <t>GPR</t>
        </is>
      </c>
      <c r="E11" s="9" t="inlineStr">
        <is>
          <t>GPR 7 (ate E)</t>
        </is>
      </c>
      <c r="F11" s="10" t="inlineStr">
        <is>
          <t>G</t>
        </is>
      </c>
      <c r="G11" s="11" t="inlineStr">
        <is>
          <t>Nao</t>
        </is>
      </c>
      <c r="H11" s="9" t="inlineStr">
        <is>
          <t>Os recursos materiais e o ambiente de trabalho necessarios para executar o projeto sao estabelecidos e mantidos atualizados.</t>
        </is>
      </c>
      <c r="I11" s="9" t="inlineStr">
        <is>
          <t>Estao definidos os recursos materiais e o ambiente (hardware, software, licencas, ambientes de dev/teste)?</t>
        </is>
      </c>
      <c r="J11" s="9" t="inlineStr">
        <is>
          <t>Lista de recursos materiais e ambiente no plano de projeto.</t>
        </is>
      </c>
      <c r="K11" s="9" t="inlineStr">
        <is>
          <t>1) Liste ambientes (dev, homolog, prod), ferramentas e licencas. 2) Garanta provisionamento. 3) Atualize quando mudar.</t>
        </is>
      </c>
      <c r="L11" s="9" t="inlineStr">
        <is>
          <t>Descobrir no meio do projeto que falta ambiente/licenca.</t>
        </is>
      </c>
      <c r="M11" s="9" t="inlineStr">
        <is>
          <t>Plano de projeto, inventario de TI.</t>
        </is>
      </c>
      <c r="N11" s="45" t="inlineStr">
        <is>
          <t>P</t>
        </is>
      </c>
      <c r="O11" s="9" t="inlineStr">
        <is>
          <t>TPL-GPR-001 (recursos materiais/ambiente)</t>
        </is>
      </c>
      <c r="P11" s="9" t="n"/>
      <c r="Q11" s="9" t="n"/>
      <c r="R11" s="9" t="inlineStr">
        <is>
          <t>Definicao/processo e template prontos no git; evidencia de execucao por projeto pendente (4 projetos da amostra nao selecionados).</t>
        </is>
      </c>
    </row>
    <row r="12" ht="36" customHeight="1">
      <c r="A12" s="9" t="n">
        <v>11</v>
      </c>
      <c r="B12" s="9" t="inlineStr">
        <is>
          <t>Projeto</t>
        </is>
      </c>
      <c r="C12" s="9" t="inlineStr">
        <is>
          <t>Gerencia de Projetos</t>
        </is>
      </c>
      <c r="D12" s="9" t="inlineStr">
        <is>
          <t>GPR</t>
        </is>
      </c>
      <c r="E12" s="9" t="inlineStr">
        <is>
          <t>GPR 7+ (a partir de D)</t>
        </is>
      </c>
      <c r="F12" s="14" t="inlineStr">
        <is>
          <t>D</t>
        </is>
      </c>
      <c r="G12" s="11" t="inlineStr">
        <is>
          <t>Nao</t>
        </is>
      </c>
      <c r="H12" s="9" t="inlineStr">
        <is>
          <t>Os recursos materiais e o ambiente de trabalho sao estabelecidos a partir dos ambientes padrao de trabalho da organizacao, e sao mantidos atualizados.</t>
        </is>
      </c>
      <c r="I12" s="9" t="inlineStr">
        <is>
          <t>Os ambientes do projeto derivam dos AMBIENTES PADRAO da organizacao (GPC 8)?</t>
        </is>
      </c>
      <c r="J12" s="9" t="inlineStr">
        <is>
          <t>Referencia ao ambiente padrao organizacional na configuracao do projeto.</t>
        </is>
      </c>
      <c r="K12" s="9" t="inlineStr">
        <is>
          <t>1) Defina ambientes padrao na organizacao (ver GPC 8). 2) Projetos partem deles. 3) Registre adaptacoes.</t>
        </is>
      </c>
      <c r="L12" s="9" t="inlineStr">
        <is>
          <t>Cada projeto monta ambiente do zero, sem padrao.</t>
        </is>
      </c>
      <c r="M12" s="9" t="inlineStr">
        <is>
          <t>IaC (Terraform), imagens padrao, Confluence.</t>
        </is>
      </c>
      <c r="N12" s="45" t="inlineStr">
        <is>
          <t>P</t>
        </is>
      </c>
      <c r="O12" s="9" t="inlineStr">
        <is>
          <t>PLA-GPC-001 §3 (ambientes-padrao) referenciado no plano</t>
        </is>
      </c>
      <c r="P12" s="9" t="n"/>
      <c r="Q12" s="9" t="n"/>
      <c r="R12" s="9" t="inlineStr">
        <is>
          <t>Definicao/processo e template prontos no git; evidencia de execucao por projeto pendente (4 projetos da amostra nao selecionados).</t>
        </is>
      </c>
    </row>
    <row r="13" ht="24" customHeight="1">
      <c r="A13" s="9" t="n">
        <v>12</v>
      </c>
      <c r="B13" s="9" t="inlineStr">
        <is>
          <t>Projeto</t>
        </is>
      </c>
      <c r="C13" s="9" t="inlineStr">
        <is>
          <t>Gerencia de Projetos</t>
        </is>
      </c>
      <c r="D13" s="9" t="inlineStr">
        <is>
          <t>GPR</t>
        </is>
      </c>
      <c r="E13" s="9" t="inlineStr">
        <is>
          <t>GPR 8</t>
        </is>
      </c>
      <c r="F13" s="10" t="inlineStr">
        <is>
          <t>G</t>
        </is>
      </c>
      <c r="G13" s="11" t="inlineStr">
        <is>
          <t>Nao</t>
        </is>
      </c>
      <c r="H13" s="9" t="inlineStr">
        <is>
          <t>A estrategia de transicao para operacao e suporte do produto, incluindo as tarefas e o cronograma, e planejada.</t>
        </is>
      </c>
      <c r="I13" s="9" t="inlineStr">
        <is>
          <t>Existe plano de como o produto entra em operacao/suporte (handover, tarefas, prazos)?</t>
        </is>
      </c>
      <c r="J13" s="9" t="inlineStr">
        <is>
          <t>Plano de transicao para operacao/suporte.</t>
        </is>
      </c>
      <c r="K13" s="9" t="inlineStr">
        <is>
          <t>1) Defina como o produto vai para producao e quem assume o suporte. 2) Liste tarefas de transicao. 3) Coloque no cronograma.</t>
        </is>
      </c>
      <c r="L13" s="9" t="inlineStr">
        <is>
          <t>Entregar sem plano de sustentacao - critico no contexto CEMIG (AMS).</t>
        </is>
      </c>
      <c r="M13" s="9" t="inlineStr">
        <is>
          <t>Plano de transicao, runbook.</t>
        </is>
      </c>
      <c r="N13" s="45" t="inlineStr">
        <is>
          <t>P</t>
        </is>
      </c>
      <c r="O13" s="9" t="inlineStr">
        <is>
          <t>PRO-GPR-001 §6 / TPL-GPR-001 (transicao p/ operacao)</t>
        </is>
      </c>
      <c r="P13" s="9" t="n"/>
      <c r="Q13" s="9" t="n"/>
      <c r="R13" s="9" t="inlineStr">
        <is>
          <t>Definicao/processo e template prontos no git; evidencia de execucao por projeto pendente (4 projetos da amostra nao selecionados).</t>
        </is>
      </c>
    </row>
    <row r="14" ht="24" customHeight="1">
      <c r="A14" s="9" t="n">
        <v>13</v>
      </c>
      <c r="B14" s="9" t="inlineStr">
        <is>
          <t>Projeto</t>
        </is>
      </c>
      <c r="C14" s="9" t="inlineStr">
        <is>
          <t>Gerencia de Projetos</t>
        </is>
      </c>
      <c r="D14" s="9" t="inlineStr">
        <is>
          <t>GPR</t>
        </is>
      </c>
      <c r="E14" s="9" t="inlineStr">
        <is>
          <t>GPR 9</t>
        </is>
      </c>
      <c r="F14" s="10" t="inlineStr">
        <is>
          <t>G</t>
        </is>
      </c>
      <c r="G14" s="11" t="inlineStr">
        <is>
          <t>Nao</t>
        </is>
      </c>
      <c r="H14" s="9" t="inlineStr">
        <is>
          <t>O envolvimento das partes interessadas no projeto e planejado.</t>
        </is>
      </c>
      <c r="I14" s="9" t="inlineStr">
        <is>
          <t>Esta planejado quem sao os stakeholders e como/quando serao envolvidos?</t>
        </is>
      </c>
      <c r="J14" s="9" t="inlineStr">
        <is>
          <t>Plano de comunicacao / matriz de partes interessadas.</t>
        </is>
      </c>
      <c r="K14" s="9" t="inlineStr">
        <is>
          <t>1) Liste stakeholders. 2) Defina quando e como cada um participa. 3) Registre no plano.</t>
        </is>
      </c>
      <c r="L14" s="9" t="inlineStr">
        <is>
          <t>Stakeholder-chave descobre o projeto so na entrega.</t>
        </is>
      </c>
      <c r="M14" s="9" t="inlineStr">
        <is>
          <t>Matriz RACI, plano de comunicacao.</t>
        </is>
      </c>
      <c r="N14" s="45" t="inlineStr">
        <is>
          <t>P</t>
        </is>
      </c>
      <c r="O14" s="9" t="inlineStr">
        <is>
          <t>TPL-GPR-001 (partes interessadas/comunicacao)</t>
        </is>
      </c>
      <c r="P14" s="9" t="n"/>
      <c r="Q14" s="9" t="n"/>
      <c r="R14" s="9" t="inlineStr">
        <is>
          <t>Definicao/processo e template prontos no git; evidencia de execucao por projeto pendente (4 projetos da amostra nao selecionados).</t>
        </is>
      </c>
    </row>
    <row r="15" ht="48" customHeight="1">
      <c r="A15" s="9" t="n">
        <v>14</v>
      </c>
      <c r="B15" s="9" t="inlineStr">
        <is>
          <t>Projeto</t>
        </is>
      </c>
      <c r="C15" s="9" t="inlineStr">
        <is>
          <t>Gerencia de Projetos</t>
        </is>
      </c>
      <c r="D15" s="9" t="inlineStr">
        <is>
          <t>GPR</t>
        </is>
      </c>
      <c r="E15" s="9" t="inlineStr">
        <is>
          <t>GPR 10 (ate E)</t>
        </is>
      </c>
      <c r="F15" s="10" t="inlineStr">
        <is>
          <t>G</t>
        </is>
      </c>
      <c r="G15" s="13" t="inlineStr">
        <is>
          <t>Sim</t>
        </is>
      </c>
      <c r="H15" s="9" t="inlineStr">
        <is>
          <t>Os riscos ou oportunidades do projeto sao identificados e o seu impacto, probabilidade de ocorrencia e prioridade de tratamento sao determinados e documentados. (Item requerido: o registro de riscos e obrigatorio.)</t>
        </is>
      </c>
      <c r="I15" s="9" t="inlineStr">
        <is>
          <t>Existe REGISTRO DE RISCOS com impacto, probabilidade e prioridade? (Obrigatorio.)</t>
        </is>
      </c>
      <c r="J15" s="9" t="inlineStr">
        <is>
          <t>Registro/matriz de riscos do projeto.</t>
        </is>
      </c>
      <c r="K15" s="9" t="inlineStr">
        <is>
          <t>1) Crie matriz de riscos. 2) Para cada risco: descricao, impacto, probabilidade, prioridade. 3) Atualize periodicamente.</t>
        </is>
      </c>
      <c r="L15" s="9" t="inlineStr">
        <is>
          <t>Nao ter registro de riscos - reprova direto, e item requerido.</t>
        </is>
      </c>
      <c r="M15" s="9" t="inlineStr">
        <is>
          <t>Planilha de riscos, Jira (risk issues).</t>
        </is>
      </c>
      <c r="N15" s="45" t="inlineStr">
        <is>
          <t>P</t>
        </is>
      </c>
      <c r="O15" s="9" t="inlineStr">
        <is>
          <t>EST-GPC-002 (riscos) + Jira (registro de riscos)</t>
        </is>
      </c>
      <c r="P15" s="9" t="n"/>
      <c r="Q15" s="9" t="n"/>
      <c r="R15" s="9" t="inlineStr">
        <is>
          <t>Definicao/processo e template prontos no git; evidencia de execucao por projeto pendente (4 projetos da amostra nao selecionados).</t>
        </is>
      </c>
    </row>
    <row r="16" ht="48" customHeight="1">
      <c r="A16" s="9" t="n">
        <v>15</v>
      </c>
      <c r="B16" s="9" t="inlineStr">
        <is>
          <t>Projeto</t>
        </is>
      </c>
      <c r="C16" s="9" t="inlineStr">
        <is>
          <t>Gerencia de Projetos</t>
        </is>
      </c>
      <c r="D16" s="9" t="inlineStr">
        <is>
          <t>GPR</t>
        </is>
      </c>
      <c r="E16" s="9" t="inlineStr">
        <is>
          <t>GPR 10+ (a partir de D)</t>
        </is>
      </c>
      <c r="F16" s="14" t="inlineStr">
        <is>
          <t>D</t>
        </is>
      </c>
      <c r="G16" s="13" t="inlineStr">
        <is>
          <t>Sim</t>
        </is>
      </c>
      <c r="H16" s="9" t="inlineStr">
        <is>
          <t>A identificacao, analise e o tratamento de riscos ou oportunidades do projeto sao realizados conforme a estrategia definida para a gerencia de riscos e oportunidades da organizacao. (Item requerido: registro de riscos obrigatorio.)</t>
        </is>
      </c>
      <c r="I16" s="9" t="inlineStr">
        <is>
          <t>A gestao de riscos do projeto segue a ESTRATEGIA ORGANIZACIONAL de riscos (GPC 7)?</t>
        </is>
      </c>
      <c r="J16" s="9" t="inlineStr">
        <is>
          <t>Registro de riscos seguindo categorias/parametros da estrategia organizacional.</t>
        </is>
      </c>
      <c r="K16" s="9" t="inlineStr">
        <is>
          <t>1) Defina estrategia organizacional de riscos (GPC 7). 2) Projetos seguem suas categorias e limiares. 3) Planos de mitigacao e contingencia.</t>
        </is>
      </c>
      <c r="L16" s="9" t="inlineStr">
        <is>
          <t>Cada projeto trata risco do seu jeito, sem estrategia comum.</t>
        </is>
      </c>
      <c r="M16" s="9" t="inlineStr">
        <is>
          <t>Estrategia organizacional de riscos, planilha padronizada.</t>
        </is>
      </c>
      <c r="N16" s="45" t="inlineStr">
        <is>
          <t>P</t>
        </is>
      </c>
      <c r="O16" s="9" t="inlineStr">
        <is>
          <t>EST-GPC-002 (gestao de riscos conforme estrategia organizacional)</t>
        </is>
      </c>
      <c r="P16" s="9" t="n"/>
      <c r="Q16" s="9" t="n"/>
      <c r="R16" s="9" t="inlineStr">
        <is>
          <t>Definicao/processo e template prontos no git; evidencia de execucao por projeto pendente (4 projetos da amostra nao selecionados).</t>
        </is>
      </c>
    </row>
    <row r="17" ht="48" customHeight="1">
      <c r="A17" s="9" t="n">
        <v>16</v>
      </c>
      <c r="B17" s="9" t="inlineStr">
        <is>
          <t>Projeto</t>
        </is>
      </c>
      <c r="C17" s="9" t="inlineStr">
        <is>
          <t>Gerencia de Projetos</t>
        </is>
      </c>
      <c r="D17" s="9" t="inlineStr">
        <is>
          <t>GPR</t>
        </is>
      </c>
      <c r="E17" s="9" t="inlineStr">
        <is>
          <t>GPR 11</t>
        </is>
      </c>
      <c r="F17" s="10" t="inlineStr">
        <is>
          <t>G</t>
        </is>
      </c>
      <c r="G17" s="11" t="inlineStr">
        <is>
          <t>Nao</t>
        </is>
      </c>
      <c r="H17" s="9" t="inlineStr">
        <is>
          <t>A viabilidade do projeto e avaliada considerando as estimativas realizadas, restricoes, capacidade e disponibilidade dos recursos. Se necessario, ajustes sao realizados.</t>
        </is>
      </c>
      <c r="I17" s="9" t="inlineStr">
        <is>
          <t>Houve analise de viabilidade (estimativas x recursos x restricoes) com ajustes registrados?</t>
        </is>
      </c>
      <c r="J17" s="9" t="inlineStr">
        <is>
          <t>Registro de analise de viabilidade.</t>
        </is>
      </c>
      <c r="K17" s="9" t="inlineStr">
        <is>
          <t>1) Compare estimativas com recursos disponiveis. 2) Identifique inviabilidades. 3) Ajuste escopo/prazo/equipe. 4) Registre.</t>
        </is>
      </c>
      <c r="L17" s="9" t="inlineStr">
        <is>
          <t>Aceitar prazo impossivel sem analise.</t>
        </is>
      </c>
      <c r="M17" s="9" t="inlineStr">
        <is>
          <t>Plano de projeto, reuniao de kickoff documentada.</t>
        </is>
      </c>
      <c r="N17" s="45" t="inlineStr">
        <is>
          <t>P</t>
        </is>
      </c>
      <c r="O17" s="9" t="inlineStr">
        <is>
          <t>PRO-GPR-001 §7 (analise de viabilidade)</t>
        </is>
      </c>
      <c r="P17" s="9" t="n"/>
      <c r="Q17" s="9" t="n"/>
      <c r="R17" s="9" t="inlineStr">
        <is>
          <t>Definicao/processo e template prontos no git; evidencia de execucao por projeto pendente (4 projetos da amostra nao selecionados).</t>
        </is>
      </c>
    </row>
    <row r="18" ht="36" customHeight="1">
      <c r="A18" s="9" t="n">
        <v>17</v>
      </c>
      <c r="B18" s="9" t="inlineStr">
        <is>
          <t>Projeto</t>
        </is>
      </c>
      <c r="C18" s="9" t="inlineStr">
        <is>
          <t>Gerencia de Projetos</t>
        </is>
      </c>
      <c r="D18" s="9" t="inlineStr">
        <is>
          <t>GPR</t>
        </is>
      </c>
      <c r="E18" s="9" t="inlineStr">
        <is>
          <t>GPR 12 (ate E)</t>
        </is>
      </c>
      <c r="F18" s="10" t="inlineStr">
        <is>
          <t>G</t>
        </is>
      </c>
      <c r="G18" s="11" t="inlineStr">
        <is>
          <t>Nao</t>
        </is>
      </c>
      <c r="H18" s="9" t="inlineStr">
        <is>
          <t>Um plano geral para a execucao do projeto e estabelecido com a integracao consistente dos planejamentos realizados, e e mantido atualizado.</t>
        </is>
      </c>
      <c r="I18" s="9" t="inlineStr">
        <is>
          <t>Existe um PLANO DE PROJETO unico integrando escopo, cronograma, recursos, riscos, comunicacao?</t>
        </is>
      </c>
      <c r="J18" s="9" t="inlineStr">
        <is>
          <t>Plano de projeto consolidado e versionado.</t>
        </is>
      </c>
      <c r="K18" s="9" t="inlineStr">
        <is>
          <t>1) Consolide todos os planejamentos num documento. 2) Garanta consistencia entre eles. 3) Versione e mantenha atualizado.</t>
        </is>
      </c>
      <c r="L18" s="9" t="inlineStr">
        <is>
          <t>Planejamentos espalhados sem integracao.</t>
        </is>
      </c>
      <c r="M18" s="9" t="inlineStr">
        <is>
          <t>Template de plano de projeto, Confluence.</t>
        </is>
      </c>
      <c r="N18" s="45" t="inlineStr">
        <is>
          <t>P</t>
        </is>
      </c>
      <c r="O18" s="9" t="inlineStr">
        <is>
          <t>TPL-GPR-001 (plano de projeto integrado e versionado)</t>
        </is>
      </c>
      <c r="P18" s="9" t="n"/>
      <c r="Q18" s="9" t="n"/>
      <c r="R18" s="9" t="inlineStr">
        <is>
          <t>Definicao/processo e template prontos no git; evidencia de execucao por projeto pendente (4 projetos da amostra nao selecionados).</t>
        </is>
      </c>
    </row>
    <row r="19" ht="48" customHeight="1">
      <c r="A19" s="9" t="n">
        <v>18</v>
      </c>
      <c r="B19" s="9" t="inlineStr">
        <is>
          <t>Projeto</t>
        </is>
      </c>
      <c r="C19" s="9" t="inlineStr">
        <is>
          <t>Gerencia de Projetos</t>
        </is>
      </c>
      <c r="D19" s="9" t="inlineStr">
        <is>
          <t>GPR</t>
        </is>
      </c>
      <c r="E19" s="9" t="inlineStr">
        <is>
          <t>GPR 12+ (a partir de D)</t>
        </is>
      </c>
      <c r="F19" s="14" t="inlineStr">
        <is>
          <t>D</t>
        </is>
      </c>
      <c r="G19" s="11" t="inlineStr">
        <is>
          <t>Nao</t>
        </is>
      </c>
      <c r="H19" s="9" t="inlineStr">
        <is>
          <t>Um plano geral e estabelecido com a integracao consistente dos planejamentos, considerando o processo do projeto, os ativos de processo e o repositorio de medidas, e e mantido atualizado.</t>
        </is>
      </c>
      <c r="I19" s="9" t="inlineStr">
        <is>
          <t>O plano integra processo definido do projeto, ativos de processo e repositorio de medidas?</t>
        </is>
      </c>
      <c r="J19" s="9" t="inlineStr">
        <is>
          <t>Plano de projeto referenciando ativos organizacionais e repositorio de medidas.</t>
        </is>
      </c>
      <c r="K19" s="9" t="inlineStr">
        <is>
          <t>1) Ao montar o plano, use templates (ativos) e dados historicos (repositorio). 2) Referencie-os explicitamente.</t>
        </is>
      </c>
      <c r="L19" s="9" t="inlineStr">
        <is>
          <t>Plano que ignora os ativos e dados da organizacao.</t>
        </is>
      </c>
      <c r="M19" s="9" t="inlineStr">
        <is>
          <t>Biblioteca de ativos, repositorio de medidas.</t>
        </is>
      </c>
      <c r="N19" s="45" t="inlineStr">
        <is>
          <t>P</t>
        </is>
      </c>
      <c r="O19" s="9" t="inlineStr">
        <is>
          <t>TPL-GPR-001 + biblioteca de ativos/repositorio de medidas</t>
        </is>
      </c>
      <c r="P19" s="9" t="n"/>
      <c r="Q19" s="9" t="n"/>
      <c r="R19" s="9" t="inlineStr">
        <is>
          <t>Definicao/processo e template prontos no git; evidencia de execucao por projeto pendente (4 projetos da amostra nao selecionados).</t>
        </is>
      </c>
    </row>
    <row r="20" ht="24" customHeight="1">
      <c r="A20" s="9" t="n">
        <v>19</v>
      </c>
      <c r="B20" s="9" t="inlineStr">
        <is>
          <t>Projeto</t>
        </is>
      </c>
      <c r="C20" s="9" t="inlineStr">
        <is>
          <t>Gerencia de Projetos</t>
        </is>
      </c>
      <c r="D20" s="9" t="inlineStr">
        <is>
          <t>GPR</t>
        </is>
      </c>
      <c r="E20" s="9" t="inlineStr">
        <is>
          <t>GPR 13 (ate E)</t>
        </is>
      </c>
      <c r="F20" s="10" t="inlineStr">
        <is>
          <t>G</t>
        </is>
      </c>
      <c r="G20" s="11" t="inlineStr">
        <is>
          <t>Nao</t>
        </is>
      </c>
      <c r="H20" s="9" t="inlineStr">
        <is>
          <t>O Plano do Projeto e revisado com todos os interessados e o compromisso com ele e obtido.</t>
        </is>
      </c>
      <c r="I20" s="9" t="inlineStr">
        <is>
          <t>Houve revisao do plano com stakeholders e registro de aceite/compromisso?</t>
        </is>
      </c>
      <c r="J20" s="9" t="inlineStr">
        <is>
          <t>Ata de revisao do plano com aceite das partes.</t>
        </is>
      </c>
      <c r="K20" s="9" t="inlineStr">
        <is>
          <t>1) Reuna stakeholders. 2) Revise o plano. 3) Obtenha e registre o compromisso (ata/assinatura).</t>
        </is>
      </c>
      <c r="L20" s="9" t="inlineStr">
        <is>
          <t>Plano aprovado so internamente, sem compromisso do cliente.</t>
        </is>
      </c>
      <c r="M20" s="9" t="inlineStr">
        <is>
          <t>Ata de reuniao, assinatura eletronica.</t>
        </is>
      </c>
      <c r="N20" s="45" t="inlineStr">
        <is>
          <t>P</t>
        </is>
      </c>
      <c r="O20" s="9" t="inlineStr">
        <is>
          <t>PRO-GPR-001 §8 + TPL-ORG-001 (ata de revisao/compromisso)</t>
        </is>
      </c>
      <c r="P20" s="9" t="n"/>
      <c r="Q20" s="9" t="n"/>
      <c r="R20" s="9" t="inlineStr">
        <is>
          <t>Definicao/processo e template prontos no git; evidencia de execucao por projeto pendente (4 projetos da amostra nao selecionados).</t>
        </is>
      </c>
    </row>
    <row r="21" ht="36" customHeight="1">
      <c r="A21" s="9" t="n">
        <v>20</v>
      </c>
      <c r="B21" s="9" t="inlineStr">
        <is>
          <t>Projeto</t>
        </is>
      </c>
      <c r="C21" s="9" t="inlineStr">
        <is>
          <t>Gerencia de Projetos</t>
        </is>
      </c>
      <c r="D21" s="9" t="inlineStr">
        <is>
          <t>GPR</t>
        </is>
      </c>
      <c r="E21" s="9" t="inlineStr">
        <is>
          <t>GPR 13+ (a partir de D)</t>
        </is>
      </c>
      <c r="F21" s="14" t="inlineStr">
        <is>
          <t>D</t>
        </is>
      </c>
      <c r="G21" s="11" t="inlineStr">
        <is>
          <t>Nao</t>
        </is>
      </c>
      <c r="H21" s="9" t="inlineStr">
        <is>
          <t>O Plano do Projeto e revisado com todos os interessados, incluindo o tratamento de dependencias criticas, e o compromisso com ele e obtido.</t>
        </is>
      </c>
      <c r="I21" s="9" t="inlineStr">
        <is>
          <t>A revisao do plano trata explicitamente DEPENDENCIAS CRITICAS entre areas/projetos?</t>
        </is>
      </c>
      <c r="J21" s="9" t="inlineStr">
        <is>
          <t>Ata de revisao incluindo dependencias criticas.</t>
        </is>
      </c>
      <c r="K21" s="9" t="inlineStr">
        <is>
          <t>1) Identifique dependencias criticas (de outros times, fornecedores). 2) Trate na revisao. 3) Registre compromissos cruzados.</t>
        </is>
      </c>
      <c r="L21" s="9" t="inlineStr">
        <is>
          <t>Ignorar dependencia externa que trava o projeto.</t>
        </is>
      </c>
      <c r="M21" s="9" t="inlineStr">
        <is>
          <t>Mapa de dependencias, ata.</t>
        </is>
      </c>
      <c r="N21" s="45" t="inlineStr">
        <is>
          <t>P</t>
        </is>
      </c>
      <c r="O21" s="9" t="inlineStr">
        <is>
          <t>TPL-ORG-001 (ata incluindo dependencias criticas)</t>
        </is>
      </c>
      <c r="P21" s="9" t="n"/>
      <c r="Q21" s="9" t="n"/>
      <c r="R21" s="9" t="inlineStr">
        <is>
          <t>Definicao/processo e template prontos no git; evidencia de execucao por projeto pendente (4 projetos da amostra nao selecionados).</t>
        </is>
      </c>
    </row>
    <row r="22" ht="36" customHeight="1">
      <c r="A22" s="9" t="n">
        <v>21</v>
      </c>
      <c r="B22" s="9" t="inlineStr">
        <is>
          <t>Projeto</t>
        </is>
      </c>
      <c r="C22" s="9" t="inlineStr">
        <is>
          <t>Gerencia de Projetos</t>
        </is>
      </c>
      <c r="D22" s="9" t="inlineStr">
        <is>
          <t>GPR</t>
        </is>
      </c>
      <c r="E22" s="9" t="inlineStr">
        <is>
          <t>GPR 14 (ate E)</t>
        </is>
      </c>
      <c r="F22" s="10" t="inlineStr">
        <is>
          <t>G</t>
        </is>
      </c>
      <c r="G22" s="11" t="inlineStr">
        <is>
          <t>Nao</t>
        </is>
      </c>
      <c r="H22" s="9" t="inlineStr">
        <is>
          <t>O escopo, as tarefas, as estimativas, o orcamento, o cronograma, os recursos materiais e humanos e o ambiente de trabalho sao monitorados em relacao ao planejado.</t>
        </is>
      </c>
      <c r="I22" s="9" t="inlineStr">
        <is>
          <t>Ha monitoramento periodico de planejado x realizado (escopo, prazo, custo, recursos)?</t>
        </is>
      </c>
      <c r="J22" s="9" t="inlineStr">
        <is>
          <t>Relatorios de acompanhamento (status report) com planejado x realizado.</t>
        </is>
      </c>
      <c r="K22" s="9" t="inlineStr">
        <is>
          <t>1) Defina cadencia de status. 2) Compare planejado x realizado em cada dimensao. 3) Registre.</t>
        </is>
      </c>
      <c r="L22" s="9" t="inlineStr">
        <is>
          <t>So perceber atraso quando o prazo estoura.</t>
        </is>
      </c>
      <c r="M22" s="9" t="inlineStr">
        <is>
          <t>Status report, dashboards Jira, burndown.</t>
        </is>
      </c>
      <c r="N22" s="45" t="inlineStr">
        <is>
          <t>P</t>
        </is>
      </c>
      <c r="O22" s="9" t="inlineStr">
        <is>
          <t>TPL-GPR-005 (Relatorio de Acompanhamento - planejado x realizado)</t>
        </is>
      </c>
      <c r="P22" s="9" t="n"/>
      <c r="Q22" s="9" t="n"/>
      <c r="R22" s="9" t="inlineStr">
        <is>
          <t>Definicao/processo e template prontos no git; evidencia de execucao por projeto pendente (4 projetos da amostra nao selecionados).</t>
        </is>
      </c>
    </row>
    <row r="23" ht="24" customHeight="1">
      <c r="A23" s="9" t="n">
        <v>22</v>
      </c>
      <c r="B23" s="9" t="inlineStr">
        <is>
          <t>Projeto</t>
        </is>
      </c>
      <c r="C23" s="9" t="inlineStr">
        <is>
          <t>Gerencia de Projetos</t>
        </is>
      </c>
      <c r="D23" s="9" t="inlineStr">
        <is>
          <t>GPR</t>
        </is>
      </c>
      <c r="E23" s="9" t="inlineStr">
        <is>
          <t>GPR 14+ (a partir de D)</t>
        </is>
      </c>
      <c r="F23" s="14" t="inlineStr">
        <is>
          <t>D</t>
        </is>
      </c>
      <c r="G23" s="11" t="inlineStr">
        <is>
          <t>Nao</t>
        </is>
      </c>
      <c r="H23" s="9" t="inlineStr">
        <is>
          <t>...sao monitorados em relacao ao planejado e ao processo do projeto, e dependencias criticas sao gerenciadas.</t>
        </is>
      </c>
      <c r="I23" s="9" t="inlineStr">
        <is>
          <t>O monitoramento inclui aderencia ao PROCESSO do projeto e gestao de dependencias criticas?</t>
        </is>
      </c>
      <c r="J23" s="9" t="inlineStr">
        <is>
          <t>Status report incluindo aderencia ao processo e status de dependencias.</t>
        </is>
      </c>
      <c r="K23" s="9" t="inlineStr">
        <is>
          <t>1) Alem de prazo/custo, monitore se o processo esta sendo seguido. 2) Acompanhe dependencias criticas ativamente.</t>
        </is>
      </c>
      <c r="L23" s="9" t="inlineStr">
        <is>
          <t>Monitorar so cronograma, ignorando aderencia ao processo.</t>
        </is>
      </c>
      <c r="M23" s="9" t="inlineStr">
        <is>
          <t>Status report ampliado, checklist de aderencia.</t>
        </is>
      </c>
      <c r="N23" s="45" t="inlineStr">
        <is>
          <t>P</t>
        </is>
      </c>
      <c r="O23" s="9" t="inlineStr">
        <is>
          <t>TPL-GPR-005 (monitoramento incl. aderencia ao processo)</t>
        </is>
      </c>
      <c r="P23" s="9" t="n"/>
      <c r="Q23" s="9" t="n"/>
      <c r="R23" s="9" t="inlineStr">
        <is>
          <t>Definicao/processo e template prontos no git; evidencia de execucao por projeto pendente (4 projetos da amostra nao selecionados).</t>
        </is>
      </c>
    </row>
    <row r="24" ht="24" customHeight="1">
      <c r="A24" s="9" t="n">
        <v>23</v>
      </c>
      <c r="B24" s="9" t="inlineStr">
        <is>
          <t>Projeto</t>
        </is>
      </c>
      <c r="C24" s="9" t="inlineStr">
        <is>
          <t>Gerencia de Projetos</t>
        </is>
      </c>
      <c r="D24" s="9" t="inlineStr">
        <is>
          <t>GPR</t>
        </is>
      </c>
      <c r="E24" s="9" t="inlineStr">
        <is>
          <t>GPR 15</t>
        </is>
      </c>
      <c r="F24" s="10" t="inlineStr">
        <is>
          <t>G</t>
        </is>
      </c>
      <c r="G24" s="11" t="inlineStr">
        <is>
          <t>Nao</t>
        </is>
      </c>
      <c r="H24" s="9" t="inlineStr">
        <is>
          <t>O envolvimento das partes interessadas no projeto e monitorado e tratado em relacao ao planejado.</t>
        </is>
      </c>
      <c r="I24" s="9" t="inlineStr">
        <is>
          <t>O envolvimento real dos stakeholders e acompanhado contra o planejado?</t>
        </is>
      </c>
      <c r="J24" s="9" t="inlineStr">
        <is>
          <t>Registro de participacao de stakeholders x plano de comunicacao.</t>
        </is>
      </c>
      <c r="K24" s="9" t="inlineStr">
        <is>
          <t>1) Compare participacao real x planejada. 2) Cobre quem esta ausente. 3) Registre.</t>
        </is>
      </c>
      <c r="L24" s="9" t="inlineStr">
        <is>
          <t>Stakeholder some e ninguem trata.</t>
        </is>
      </c>
      <c r="M24" s="9" t="inlineStr">
        <is>
          <t>Plano de comunicacao, atas.</t>
        </is>
      </c>
      <c r="N24" s="45" t="inlineStr">
        <is>
          <t>P</t>
        </is>
      </c>
      <c r="O24" s="9" t="inlineStr">
        <is>
          <t>TPL-GPR-005 (envolvimento das partes monitorado)</t>
        </is>
      </c>
      <c r="P24" s="9" t="n"/>
      <c r="Q24" s="9" t="n"/>
      <c r="R24" s="9" t="inlineStr">
        <is>
          <t>Definicao/processo e template prontos no git; evidencia de execucao por projeto pendente (4 projetos da amostra nao selecionados).</t>
        </is>
      </c>
    </row>
    <row r="25" ht="24" customHeight="1">
      <c r="A25" s="9" t="n">
        <v>24</v>
      </c>
      <c r="B25" s="9" t="inlineStr">
        <is>
          <t>Projeto</t>
        </is>
      </c>
      <c r="C25" s="9" t="inlineStr">
        <is>
          <t>Gerencia de Projetos</t>
        </is>
      </c>
      <c r="D25" s="9" t="inlineStr">
        <is>
          <t>GPR</t>
        </is>
      </c>
      <c r="E25" s="9" t="inlineStr">
        <is>
          <t>GPR 16</t>
        </is>
      </c>
      <c r="F25" s="10" t="inlineStr">
        <is>
          <t>G</t>
        </is>
      </c>
      <c r="G25" s="11" t="inlineStr">
        <is>
          <t>Nao</t>
        </is>
      </c>
      <c r="H25" s="9" t="inlineStr">
        <is>
          <t>A transicao para a etapa de operacao e suporte do produto e monitorada em relacao ao planejado.</t>
        </is>
      </c>
      <c r="I25" s="9" t="inlineStr">
        <is>
          <t>A execucao da transicao para operacao e acompanhada contra o plano (GPR 8)?</t>
        </is>
      </c>
      <c r="J25" s="9" t="inlineStr">
        <is>
          <t>Registro de acompanhamento da transicao.</t>
        </is>
      </c>
      <c r="K25" s="9" t="inlineStr">
        <is>
          <t>1) Acompanhe as tarefas de transicao. 2) Compare com o planejado. 3) Trate desvios.</t>
        </is>
      </c>
      <c r="L25" s="9" t="inlineStr">
        <is>
          <t>Transicao planejada mas nao monitorada.</t>
        </is>
      </c>
      <c r="M25" s="9" t="inlineStr">
        <is>
          <t>Checklist de go-live, plano de transicao.</t>
        </is>
      </c>
      <c r="N25" s="45" t="inlineStr">
        <is>
          <t>P</t>
        </is>
      </c>
      <c r="O25" s="9" t="inlineStr">
        <is>
          <t>TPL-GPR-005 (transicao monitorada)</t>
        </is>
      </c>
      <c r="P25" s="9" t="n"/>
      <c r="Q25" s="9" t="n"/>
      <c r="R25" s="9" t="inlineStr">
        <is>
          <t>Definicao/processo e template prontos no git; evidencia de execucao por projeto pendente (4 projetos da amostra nao selecionados).</t>
        </is>
      </c>
    </row>
    <row r="26" ht="24" customHeight="1">
      <c r="A26" s="9" t="n">
        <v>25</v>
      </c>
      <c r="B26" s="9" t="inlineStr">
        <is>
          <t>Projeto</t>
        </is>
      </c>
      <c r="C26" s="9" t="inlineStr">
        <is>
          <t>Gerencia de Projetos</t>
        </is>
      </c>
      <c r="D26" s="9" t="inlineStr">
        <is>
          <t>GPR</t>
        </is>
      </c>
      <c r="E26" s="9" t="inlineStr">
        <is>
          <t>GPR 17 (ate E)</t>
        </is>
      </c>
      <c r="F26" s="10" t="inlineStr">
        <is>
          <t>G</t>
        </is>
      </c>
      <c r="G26" s="11" t="inlineStr">
        <is>
          <t>Nao</t>
        </is>
      </c>
      <c r="H26" s="9" t="inlineStr">
        <is>
          <t>Os riscos ou oportunidades do projeto sao monitorados e seus resultados sao comunicados as partes interessadas.</t>
        </is>
      </c>
      <c r="I26" s="9" t="inlineStr">
        <is>
          <t>Os riscos sao reavaliados periodicamente e comunicados aos interessados?</t>
        </is>
      </c>
      <c r="J26" s="9" t="inlineStr">
        <is>
          <t>Registro de riscos atualizado + comunicacao aos stakeholders.</t>
        </is>
      </c>
      <c r="K26" s="9" t="inlineStr">
        <is>
          <t>1) Revise riscos a cada ciclo. 2) Atualize status. 3) Comunique mudancas relevantes.</t>
        </is>
      </c>
      <c r="L26" s="9" t="inlineStr">
        <is>
          <t>Registro de riscos criado e esquecido.</t>
        </is>
      </c>
      <c r="M26" s="9" t="inlineStr">
        <is>
          <t>Planilha de riscos, status report.</t>
        </is>
      </c>
      <c r="N26" s="45" t="inlineStr">
        <is>
          <t>P</t>
        </is>
      </c>
      <c r="O26" s="9" t="inlineStr">
        <is>
          <t>Jira + TPL-GPR-005 (riscos monitorados e comunicados)</t>
        </is>
      </c>
      <c r="P26" s="9" t="n"/>
      <c r="Q26" s="9" t="n"/>
      <c r="R26" s="9" t="inlineStr">
        <is>
          <t>Definicao/processo e template prontos no git; evidencia de execucao por projeto pendente (4 projetos da amostra nao selecionados).</t>
        </is>
      </c>
    </row>
    <row r="27" ht="36" customHeight="1">
      <c r="A27" s="9" t="n">
        <v>26</v>
      </c>
      <c r="B27" s="9" t="inlineStr">
        <is>
          <t>Projeto</t>
        </is>
      </c>
      <c r="C27" s="9" t="inlineStr">
        <is>
          <t>Gerencia de Projetos</t>
        </is>
      </c>
      <c r="D27" s="9" t="inlineStr">
        <is>
          <t>GPR</t>
        </is>
      </c>
      <c r="E27" s="9" t="inlineStr">
        <is>
          <t>GPR 17+ (a partir de D)</t>
        </is>
      </c>
      <c r="F27" s="14" t="inlineStr">
        <is>
          <t>D</t>
        </is>
      </c>
      <c r="G27" s="11" t="inlineStr">
        <is>
          <t>Nao</t>
        </is>
      </c>
      <c r="H27" s="9" t="inlineStr">
        <is>
          <t>Os riscos ou oportunidades do projeto sao monitorados em relacao as estrategias definidas e seus resultados sao comunicados as partes interessadas.</t>
        </is>
      </c>
      <c r="I27" s="9" t="inlineStr">
        <is>
          <t>O monitoramento de riscos segue a estrategia organizacional e e comunicado?</t>
        </is>
      </c>
      <c r="J27" s="9" t="inlineStr">
        <is>
          <t>Monitoramento de riscos conforme estrategia organizacional + comunicacao.</t>
        </is>
      </c>
      <c r="K27" s="9" t="inlineStr">
        <is>
          <t>1) Monitore conforme parametros da estrategia (GPC 7). 2) Comunique conforme definido.</t>
        </is>
      </c>
      <c r="L27" s="9" t="inlineStr">
        <is>
          <t>Monitorar fora dos parametros organizacionais.</t>
        </is>
      </c>
      <c r="M27" s="9" t="inlineStr">
        <is>
          <t>Estrategia de riscos, status report.</t>
        </is>
      </c>
      <c r="N27" s="45" t="inlineStr">
        <is>
          <t>P</t>
        </is>
      </c>
      <c r="O27" s="9" t="inlineStr">
        <is>
          <t>EST-GPC-002 (monitoramento conforme estrategia)</t>
        </is>
      </c>
      <c r="P27" s="9" t="n"/>
      <c r="Q27" s="9" t="n"/>
      <c r="R27" s="9" t="inlineStr">
        <is>
          <t>Definicao/processo e template prontos no git; evidencia de execucao por projeto pendente (4 projetos da amostra nao selecionados).</t>
        </is>
      </c>
    </row>
    <row r="28" ht="36" customHeight="1">
      <c r="A28" s="9" t="n">
        <v>27</v>
      </c>
      <c r="B28" s="9" t="inlineStr">
        <is>
          <t>Projeto</t>
        </is>
      </c>
      <c r="C28" s="9" t="inlineStr">
        <is>
          <t>Gerencia de Projetos</t>
        </is>
      </c>
      <c r="D28" s="9" t="inlineStr">
        <is>
          <t>GPR</t>
        </is>
      </c>
      <c r="E28" s="9" t="inlineStr">
        <is>
          <t>GPR 18 (ate E)</t>
        </is>
      </c>
      <c r="F28" s="10" t="inlineStr">
        <is>
          <t>G</t>
        </is>
      </c>
      <c r="G28" s="11" t="inlineStr">
        <is>
          <t>Nao</t>
        </is>
      </c>
      <c r="H28" s="9" t="inlineStr">
        <is>
          <t>Acoes para corrigir desvios em relacao ao planejado sao identificadas, implementadas e acompanhadas ate a sua conclusao.</t>
        </is>
      </c>
      <c r="I28" s="9" t="inlineStr">
        <is>
          <t>Quando ha desvio, sao abertas acoes corretivas acompanhadas ate fechar?</t>
        </is>
      </c>
      <c r="J28" s="9" t="inlineStr">
        <is>
          <t>Registro de acoes corretivas com status ate conclusao.</t>
        </is>
      </c>
      <c r="K28" s="9" t="inlineStr">
        <is>
          <t>1) Ao detectar desvio, abra acao corretiva. 2) Atribua responsavel e prazo. 3) Acompanhe ate fechar.</t>
        </is>
      </c>
      <c r="L28" s="9" t="inlineStr">
        <is>
          <t>Identificar desvio e nao agir, ou acao sem acompanhamento.</t>
        </is>
      </c>
      <c r="M28" s="9" t="inlineStr">
        <is>
          <t>Plano de acao, Jira.</t>
        </is>
      </c>
      <c r="N28" s="45" t="inlineStr">
        <is>
          <t>P</t>
        </is>
      </c>
      <c r="O28" s="9" t="inlineStr">
        <is>
          <t>Jira (acoes corretivas) + PRO-GPR-001 §10</t>
        </is>
      </c>
      <c r="P28" s="9" t="n"/>
      <c r="Q28" s="9" t="n"/>
      <c r="R28" s="9" t="inlineStr">
        <is>
          <t>Definicao/processo e template prontos no git; evidencia de execucao por projeto pendente (4 projetos da amostra nao selecionados).</t>
        </is>
      </c>
    </row>
    <row r="29" ht="36" customHeight="1">
      <c r="A29" s="9" t="n">
        <v>28</v>
      </c>
      <c r="B29" s="9" t="inlineStr">
        <is>
          <t>Projeto</t>
        </is>
      </c>
      <c r="C29" s="9" t="inlineStr">
        <is>
          <t>Gerencia de Projetos</t>
        </is>
      </c>
      <c r="D29" s="9" t="inlineStr">
        <is>
          <t>GPR</t>
        </is>
      </c>
      <c r="E29" s="9" t="inlineStr">
        <is>
          <t>GPR 18+ (a partir de D)</t>
        </is>
      </c>
      <c r="F29" s="14" t="inlineStr">
        <is>
          <t>D</t>
        </is>
      </c>
      <c r="G29" s="11" t="inlineStr">
        <is>
          <t>Nao</t>
        </is>
      </c>
      <c r="H29" s="9" t="inlineStr">
        <is>
          <t>Acoes para corrigir desvios e outras questoes relacionadas ao projeto sao identificadas, tratadas com as partes interessadas, implementadas e acompanhadas ate a sua conclusao.</t>
        </is>
      </c>
      <c r="I29" s="9" t="inlineStr">
        <is>
          <t>As acoes corretivas e questoes do projeto sao tratadas COM as partes interessadas?</t>
        </is>
      </c>
      <c r="J29" s="9" t="inlineStr">
        <is>
          <t>Registro de acoes/questoes tratadas com stakeholders.</t>
        </is>
      </c>
      <c r="K29" s="9" t="inlineStr">
        <is>
          <t>1) Leve desvios e questoes (ex: requisito incompleto, falta de recurso) aos interessados. 2) Decida em conjunto. 3) Acompanhe.</t>
        </is>
      </c>
      <c r="L29" s="9" t="inlineStr">
        <is>
          <t>Resolver desvio internamente sem envolver quem e afetado.</t>
        </is>
      </c>
      <c r="M29" s="9" t="inlineStr">
        <is>
          <t>Registro de issues, atas.</t>
        </is>
      </c>
      <c r="N29" s="45" t="inlineStr">
        <is>
          <t>P</t>
        </is>
      </c>
      <c r="O29" s="9" t="inlineStr">
        <is>
          <t>TPL-ORG-001 (acoes/questoes tratadas com partes interessadas)</t>
        </is>
      </c>
      <c r="P29" s="9" t="n"/>
      <c r="Q29" s="9" t="n"/>
      <c r="R29" s="9" t="inlineStr">
        <is>
          <t>Definicao/processo e template prontos no git; evidencia de execucao por projeto pendente (4 projetos da amostra nao selecionados).</t>
        </is>
      </c>
    </row>
    <row r="30" ht="24" customHeight="1">
      <c r="A30" s="9" t="n">
        <v>29</v>
      </c>
      <c r="B30" s="9" t="inlineStr">
        <is>
          <t>Projeto</t>
        </is>
      </c>
      <c r="C30" s="9" t="inlineStr">
        <is>
          <t>Gerencia de Projetos</t>
        </is>
      </c>
      <c r="D30" s="9" t="inlineStr">
        <is>
          <t>GPR</t>
        </is>
      </c>
      <c r="E30" s="9" t="inlineStr">
        <is>
          <t>GPR 19 (ate E)</t>
        </is>
      </c>
      <c r="F30" s="10" t="inlineStr">
        <is>
          <t>G</t>
        </is>
      </c>
      <c r="G30" s="11" t="inlineStr">
        <is>
          <t>Nao</t>
        </is>
      </c>
      <c r="H30" s="9" t="inlineStr">
        <is>
          <t>Resultados positivos ou negativos significativos do projeto sao analisados e as causas do desvio sao tratadas.</t>
        </is>
      </c>
      <c r="I30" s="9" t="inlineStr">
        <is>
          <t>Resultados relevantes (bons ou ruins) tem analise de causa registrada?</t>
        </is>
      </c>
      <c r="J30" s="9" t="inlineStr">
        <is>
          <t>Registro de analise de causa de resultados significativos.</t>
        </is>
      </c>
      <c r="K30" s="9" t="inlineStr">
        <is>
          <t>1) Identifique resultados significativos. 2) Faca analise de causa (5 porques, Ishikawa). 3) Trate as causas.</t>
        </is>
      </c>
      <c r="L30" s="9" t="inlineStr">
        <is>
          <t>So olhar o que deu errado, nunca o que deu certo.</t>
        </is>
      </c>
      <c r="M30" s="9" t="inlineStr">
        <is>
          <t>Analise de causa raiz, retrospectiva.</t>
        </is>
      </c>
      <c r="N30" s="45" t="inlineStr">
        <is>
          <t>P</t>
        </is>
      </c>
      <c r="O30" s="9" t="inlineStr">
        <is>
          <t>PRO-GPR-001 §11 (analise de causa de resultados significativos)</t>
        </is>
      </c>
      <c r="P30" s="9" t="n"/>
      <c r="Q30" s="9" t="n"/>
      <c r="R30" s="9" t="inlineStr">
        <is>
          <t>Definicao/processo e template prontos no git; evidencia de execucao por projeto pendente (4 projetos da amostra nao selecionados).</t>
        </is>
      </c>
    </row>
    <row r="31" ht="48" customHeight="1">
      <c r="A31" s="9" t="n">
        <v>30</v>
      </c>
      <c r="B31" s="9" t="inlineStr">
        <is>
          <t>Projeto</t>
        </is>
      </c>
      <c r="C31" s="9" t="inlineStr">
        <is>
          <t>Gerencia de Projetos</t>
        </is>
      </c>
      <c r="D31" s="9" t="inlineStr">
        <is>
          <t>GPR</t>
        </is>
      </c>
      <c r="E31" s="9" t="inlineStr">
        <is>
          <t>GPR 19+ (a partir de D)</t>
        </is>
      </c>
      <c r="F31" s="14" t="inlineStr">
        <is>
          <t>D</t>
        </is>
      </c>
      <c r="G31" s="11" t="inlineStr">
        <is>
          <t>Nao</t>
        </is>
      </c>
      <c r="H31" s="9" t="inlineStr">
        <is>
          <t>Resultados positivos ou negativos significativos sao analisados e tratados em relacao as causas, utilizando um procedimento organizacional e documentando os seus resultados.</t>
        </is>
      </c>
      <c r="I31" s="9" t="inlineStr">
        <is>
          <t>A analise de causa usa um PROCEDIMENTO ORGANIZACIONAL padronizado e e documentada?</t>
        </is>
      </c>
      <c r="J31" s="9" t="inlineStr">
        <is>
          <t>Analise de causa seguindo procedimento organizacional documentado.</t>
        </is>
      </c>
      <c r="K31" s="9" t="inlineStr">
        <is>
          <t>1) Padronize um procedimento de analise de causa. 2) Aplique em todos os projetos. 3) Documente resultados.</t>
        </is>
      </c>
      <c r="L31" s="9" t="inlineStr">
        <is>
          <t>Cada um analisa causa de um jeito.</t>
        </is>
      </c>
      <c r="M31" s="9" t="inlineStr">
        <is>
          <t>Procedimento organizacional, template de analise.</t>
        </is>
      </c>
      <c r="N31" s="45" t="inlineStr">
        <is>
          <t>P</t>
        </is>
      </c>
      <c r="O31" s="9" t="inlineStr">
        <is>
          <t>PRO-GPR-001 §11 (procedimento organizacional dedicado de analise de causa ainda nao formalizado)</t>
        </is>
      </c>
      <c r="P31" s="9" t="n"/>
      <c r="Q31" s="9" t="n"/>
      <c r="R31" s="9" t="inlineStr">
        <is>
          <t>Definicao/processo e template prontos no git; evidencia de execucao por projeto pendente (4 projetos da amostra nao selecionados). Procedimento organizacional dedicado de analise de causa a formalizar; alem da evidencia de projeto.</t>
        </is>
      </c>
    </row>
    <row r="32" ht="24" customHeight="1">
      <c r="A32" s="9" t="n">
        <v>31</v>
      </c>
      <c r="B32" s="9" t="inlineStr">
        <is>
          <t>Projeto</t>
        </is>
      </c>
      <c r="C32" s="9" t="inlineStr">
        <is>
          <t>Gerencia de Projetos</t>
        </is>
      </c>
      <c r="D32" s="9" t="inlineStr">
        <is>
          <t>GPR</t>
        </is>
      </c>
      <c r="E32" s="9" t="inlineStr">
        <is>
          <t>GPR 20 (a partir de D)</t>
        </is>
      </c>
      <c r="F32" s="14" t="inlineStr">
        <is>
          <t>D</t>
        </is>
      </c>
      <c r="G32" s="11" t="inlineStr">
        <is>
          <t>Nao</t>
        </is>
      </c>
      <c r="H32" s="9" t="inlineStr">
        <is>
          <t>Mudancas que se mostraram eficazes sao propostas como melhoria de processos.</t>
        </is>
      </c>
      <c r="I32" s="9" t="inlineStr">
        <is>
          <t>Melhorias que funcionaram no projeto sao propostas para o processo organizacional?</t>
        </is>
      </c>
      <c r="J32" s="9" t="inlineStr">
        <is>
          <t>Registro de proposta de melhoria de processo originada no projeto.</t>
        </is>
      </c>
      <c r="K32" s="9" t="inlineStr">
        <is>
          <t>1) Capture o que funcionou. 2) Proponha como melhoria ao responsavel pelo processo (GPC). 3) Registre.</t>
        </is>
      </c>
      <c r="L32" s="9" t="inlineStr">
        <is>
          <t>Boa pratica morre no projeto, nao vira padrao.</t>
        </is>
      </c>
      <c r="M32" s="9" t="inlineStr">
        <is>
          <t>Canal de sugestao de melhoria, GPC.</t>
        </is>
      </c>
      <c r="N32" s="45" t="inlineStr">
        <is>
          <t>P</t>
        </is>
      </c>
      <c r="O32" s="9" t="inlineStr">
        <is>
          <t>PLA-GPC-001 §5.1 (proposta de melhoria originada do projeto -&gt; GPC 4)</t>
        </is>
      </c>
      <c r="P32" s="9" t="n"/>
      <c r="Q32" s="9" t="n"/>
      <c r="R32" s="9" t="inlineStr">
        <is>
          <t>Definicao/processo e template prontos no git; evidencia de execucao por projeto pendente (4 projetos da amostra nao selecionados).</t>
        </is>
      </c>
    </row>
    <row r="33" ht="72" customHeight="1">
      <c r="A33" s="9" t="n">
        <v>32</v>
      </c>
      <c r="B33" s="9" t="inlineStr">
        <is>
          <t>Projeto</t>
        </is>
      </c>
      <c r="C33" s="9" t="inlineStr">
        <is>
          <t>Engenharia de Requisitos</t>
        </is>
      </c>
      <c r="D33" s="9" t="inlineStr">
        <is>
          <t>REQ</t>
        </is>
      </c>
      <c r="E33" s="9" t="inlineStr">
        <is>
          <t>REQ 1</t>
        </is>
      </c>
      <c r="F33" s="10" t="inlineStr">
        <is>
          <t>G</t>
        </is>
      </c>
      <c r="G33" s="13" t="inlineStr">
        <is>
          <t>Sim</t>
        </is>
      </c>
      <c r="H33" s="9" t="inlineStr">
        <is>
          <t>As necessidades, expectativas e restricoes das partes interessadas, tanto em relacao ao produto quanto a suas interfaces, sao identificadas e o entendimento dos requisitos e confirmado. (Itens requeridos: usar criterios para definicao e envolvimento das partes interessadas; usar criterios para avaliacao e aprovacao do entendimento dos requisitos.)</t>
        </is>
      </c>
      <c r="I33" s="9" t="inlineStr">
        <is>
          <t>Os requisitos sao levantados com as partes interessadas usando CRITERIOS definidos? O entendimento e confirmado/aprovado com criterios?</t>
        </is>
      </c>
      <c r="J33" s="9" t="inlineStr">
        <is>
          <t>Requisitos levantados + criterios de envolvimento de stakeholders + registro de confirmacao/aprovacao.</t>
        </is>
      </c>
      <c r="K33" s="9" t="inlineStr">
        <is>
          <t>1) Defina criterios de quem sao e como envolver os stakeholders. 2) Levante necessidades. 3) Defina criterios de aceitacao do entendimento. 4) Confirme com o cliente (assinatura/aprovacao).</t>
        </is>
      </c>
      <c r="L33" s="9" t="inlineStr">
        <is>
          <t>Levantar requisito sem confirmar entendimento - retrabalho garantido.</t>
        </is>
      </c>
      <c r="M33" s="9" t="inlineStr">
        <is>
          <t>Jira (stories), entrevistas documentadas, criterios de aceite.</t>
        </is>
      </c>
      <c r="N33" s="45" t="inlineStr">
        <is>
          <t>P</t>
        </is>
      </c>
      <c r="O33" s="9" t="inlineStr">
        <is>
          <t>TPL-REQ-001 (Documento de Requisitos) + criterios de envolvimento de stakeholders</t>
        </is>
      </c>
      <c r="P33" s="9" t="n"/>
      <c r="Q33" s="9" t="n"/>
      <c r="R33" s="9" t="inlineStr">
        <is>
          <t>Definicao/processo e template prontos no git; evidencia de execucao por projeto pendente (4 projetos da amostra nao selecionados).</t>
        </is>
      </c>
    </row>
    <row r="34" ht="36" customHeight="1">
      <c r="A34" s="9" t="n">
        <v>33</v>
      </c>
      <c r="B34" s="9" t="inlineStr">
        <is>
          <t>Projeto</t>
        </is>
      </c>
      <c r="C34" s="9" t="inlineStr">
        <is>
          <t>Engenharia de Requisitos</t>
        </is>
      </c>
      <c r="D34" s="9" t="inlineStr">
        <is>
          <t>REQ</t>
        </is>
      </c>
      <c r="E34" s="9" t="inlineStr">
        <is>
          <t>REQ 2 (ate E)</t>
        </is>
      </c>
      <c r="F34" s="10" t="inlineStr">
        <is>
          <t>G</t>
        </is>
      </c>
      <c r="G34" s="11" t="inlineStr">
        <is>
          <t>Nao</t>
        </is>
      </c>
      <c r="H34" s="9" t="inlineStr">
        <is>
          <t>Os requisitos sao especificados, priorizados e mantidos atualizados a partir das necessidades, expectativas e restricoes identificadas para o produto e suas interfaces.</t>
        </is>
      </c>
      <c r="I34" s="9" t="inlineStr">
        <is>
          <t>Os requisitos estao especificados, priorizados e atualizados?</t>
        </is>
      </c>
      <c r="J34" s="9" t="inlineStr">
        <is>
          <t>Backlog/documento de requisitos priorizado e versionado.</t>
        </is>
      </c>
      <c r="K34" s="9" t="inlineStr">
        <is>
          <t>1) Transforme necessidades em requisitos especificados. 2) Priorize (MoSCoW, valor). 3) Mantenha atualizado.</t>
        </is>
      </c>
      <c r="L34" s="9" t="inlineStr">
        <is>
          <t>Backlog sem priorizacao ou desatualizado.</t>
        </is>
      </c>
      <c r="M34" s="9" t="inlineStr">
        <is>
          <t>Jira, Azure DevOps, backlog priorizado.</t>
        </is>
      </c>
      <c r="N34" s="45" t="inlineStr">
        <is>
          <t>P</t>
        </is>
      </c>
      <c r="O34" s="9" t="inlineStr">
        <is>
          <t>TPL-REQ-001 + Jira (backlog priorizado/versionado)</t>
        </is>
      </c>
      <c r="P34" s="9" t="n"/>
      <c r="Q34" s="9" t="n"/>
      <c r="R34" s="9" t="inlineStr">
        <is>
          <t>Definicao/processo e template prontos no git; evidencia de execucao por projeto pendente (4 projetos da amostra nao selecionados).</t>
        </is>
      </c>
    </row>
    <row r="35" ht="48" customHeight="1">
      <c r="A35" s="9" t="n">
        <v>34</v>
      </c>
      <c r="B35" s="9" t="inlineStr">
        <is>
          <t>Projeto</t>
        </is>
      </c>
      <c r="C35" s="9" t="inlineStr">
        <is>
          <t>Engenharia de Requisitos</t>
        </is>
      </c>
      <c r="D35" s="9" t="inlineStr">
        <is>
          <t>REQ</t>
        </is>
      </c>
      <c r="E35" s="9" t="inlineStr">
        <is>
          <t>REQ 2+ (a partir de D)</t>
        </is>
      </c>
      <c r="F35" s="14" t="inlineStr">
        <is>
          <t>D</t>
        </is>
      </c>
      <c r="G35" s="11" t="inlineStr">
        <is>
          <t>Nao</t>
        </is>
      </c>
      <c r="H35" s="9" t="inlineStr">
        <is>
          <t>Os requisitos sao especificados, priorizados, refinados, alocados para implementacao e mantidos atualizados a partir das necessidades..., o que inclui a especificacao de conceitos operacionais, cenarios e interfaces internas e externas.</t>
        </is>
      </c>
      <c r="I35" s="9" t="inlineStr">
        <is>
          <t>Os requisitos sao refinados, alocados para implementacao, com conceitos operacionais, cenarios e interfaces especificados?</t>
        </is>
      </c>
      <c r="J35" s="9" t="inlineStr">
        <is>
          <t>Requisitos refinados com cenarios, conceitos operacionais e interfaces.</t>
        </is>
      </c>
      <c r="K35" s="9" t="inlineStr">
        <is>
          <t>1) Refine requisitos em detalhe. 2) Aloque a componentes/sprints. 3) Especifique cenarios de uso e interfaces.</t>
        </is>
      </c>
      <c r="L35" s="9" t="inlineStr">
        <is>
          <t>Requisito de alto nivel sem detalhamento para implementar.</t>
        </is>
      </c>
      <c r="M35" s="9" t="inlineStr">
        <is>
          <t>Casos de uso, user stories detalhadas, specs de interface.</t>
        </is>
      </c>
      <c r="N35" s="45" t="inlineStr">
        <is>
          <t>P</t>
        </is>
      </c>
      <c r="O35" s="9" t="inlineStr">
        <is>
          <t>TPL-REQ-001 (requisitos refinados/alocados a componentes)</t>
        </is>
      </c>
      <c r="P35" s="9" t="n"/>
      <c r="Q35" s="9" t="n"/>
      <c r="R35" s="9" t="inlineStr">
        <is>
          <t>Definicao/processo e template prontos no git; evidencia de execucao por projeto pendente (4 projetos da amostra nao selecionados).</t>
        </is>
      </c>
    </row>
    <row r="36" ht="24" customHeight="1">
      <c r="A36" s="9" t="n">
        <v>35</v>
      </c>
      <c r="B36" s="9" t="inlineStr">
        <is>
          <t>Projeto</t>
        </is>
      </c>
      <c r="C36" s="9" t="inlineStr">
        <is>
          <t>Engenharia de Requisitos</t>
        </is>
      </c>
      <c r="D36" s="9" t="inlineStr">
        <is>
          <t>REQ</t>
        </is>
      </c>
      <c r="E36" s="9" t="inlineStr">
        <is>
          <t>REQ 3</t>
        </is>
      </c>
      <c r="F36" s="10" t="inlineStr">
        <is>
          <t>G</t>
        </is>
      </c>
      <c r="G36" s="11" t="inlineStr">
        <is>
          <t>Nao</t>
        </is>
      </c>
      <c r="H36" s="9" t="inlineStr">
        <is>
          <t>O compromisso da equipe tecnica com a implementacao dos requisitos e obtido.</t>
        </is>
      </c>
      <c r="I36" s="9" t="inlineStr">
        <is>
          <t>A equipe tecnica concordou e se comprometeu com os requisitos?</t>
        </is>
      </c>
      <c r="J36" s="9" t="inlineStr">
        <is>
          <t>Registro de compromisso da equipe (ata, sprint planning).</t>
        </is>
      </c>
      <c r="K36" s="9" t="inlineStr">
        <is>
          <t>1) Apresente requisitos a equipe. 2) Discuta viabilidade. 3) Obtenha e registre compromisso.</t>
        </is>
      </c>
      <c r="L36" s="9" t="inlineStr">
        <is>
          <t>Requisitos 'jogados' para a equipe sem aceite tecnico.</t>
        </is>
      </c>
      <c r="M36" s="9" t="inlineStr">
        <is>
          <t>Sprint planning, ata.</t>
        </is>
      </c>
      <c r="N36" s="45" t="inlineStr">
        <is>
          <t>P</t>
        </is>
      </c>
      <c r="O36" s="9" t="inlineStr">
        <is>
          <t>PRO-REQ-001 + ata/sprint planning (compromisso da equipe)</t>
        </is>
      </c>
      <c r="P36" s="9" t="n"/>
      <c r="Q36" s="9" t="n"/>
      <c r="R36" s="9" t="inlineStr">
        <is>
          <t>Definicao/processo e template prontos no git; evidencia de execucao por projeto pendente (4 projetos da amostra nao selecionados).</t>
        </is>
      </c>
    </row>
    <row r="37" ht="24" customHeight="1">
      <c r="A37" s="9" t="n">
        <v>36</v>
      </c>
      <c r="B37" s="9" t="inlineStr">
        <is>
          <t>Projeto</t>
        </is>
      </c>
      <c r="C37" s="9" t="inlineStr">
        <is>
          <t>Engenharia de Requisitos</t>
        </is>
      </c>
      <c r="D37" s="9" t="inlineStr">
        <is>
          <t>REQ</t>
        </is>
      </c>
      <c r="E37" s="9" t="inlineStr">
        <is>
          <t>REQ 4</t>
        </is>
      </c>
      <c r="F37" s="10" t="inlineStr">
        <is>
          <t>G</t>
        </is>
      </c>
      <c r="G37" s="11" t="inlineStr">
        <is>
          <t>Nao</t>
        </is>
      </c>
      <c r="H37" s="9" t="inlineStr">
        <is>
          <t>A rastreabilidade bidirecional entre requisitos, atividades ou produtos de trabalho do projeto e estabelecida e mantida.</t>
        </is>
      </c>
      <c r="I37" s="9" t="inlineStr">
        <is>
          <t>Existe matriz de rastreabilidade ligando requisito &lt;-&gt; tarefa &lt;-&gt; produto, nos DOIS sentidos?</t>
        </is>
      </c>
      <c r="J37" s="9" t="inlineStr">
        <is>
          <t>Matriz de rastreabilidade bidirecional.</t>
        </is>
      </c>
      <c r="K37" s="9" t="inlineStr">
        <is>
          <t>1) Vincule cada requisito a tarefas, codigo e testes. 2) Garanta navegacao nos dois sentidos. 3) Mantenha ao longo do projeto.</t>
        </is>
      </c>
      <c r="L37" s="9" t="inlineStr">
        <is>
          <t>Rastreabilidade so de ida (requisito-&gt;codigo) sem volta (codigo-&gt;requisito).</t>
        </is>
      </c>
      <c r="M37" s="9" t="inlineStr">
        <is>
          <t>Jira (links), Azure DevOps (traceability), matriz.</t>
        </is>
      </c>
      <c r="N37" s="45" t="inlineStr">
        <is>
          <t>P</t>
        </is>
      </c>
      <c r="O37" s="9" t="inlineStr">
        <is>
          <t>TPL-REQ-002 (Matriz de Rastreabilidade bidirecional)</t>
        </is>
      </c>
      <c r="P37" s="9" t="n"/>
      <c r="Q37" s="9" t="n"/>
      <c r="R37" s="9" t="inlineStr">
        <is>
          <t>Definicao/processo e template prontos no git; evidencia de execucao por projeto pendente (4 projetos da amostra nao selecionados).</t>
        </is>
      </c>
    </row>
    <row r="38" ht="36" customHeight="1">
      <c r="A38" s="9" t="n">
        <v>37</v>
      </c>
      <c r="B38" s="9" t="inlineStr">
        <is>
          <t>Projeto</t>
        </is>
      </c>
      <c r="C38" s="9" t="inlineStr">
        <is>
          <t>Engenharia de Requisitos</t>
        </is>
      </c>
      <c r="D38" s="9" t="inlineStr">
        <is>
          <t>REQ</t>
        </is>
      </c>
      <c r="E38" s="9" t="inlineStr">
        <is>
          <t>REQ 5</t>
        </is>
      </c>
      <c r="F38" s="10" t="inlineStr">
        <is>
          <t>G</t>
        </is>
      </c>
      <c r="G38" s="11" t="inlineStr">
        <is>
          <t>Nao</t>
        </is>
      </c>
      <c r="H38" s="9" t="inlineStr">
        <is>
          <t>Os planos, atividades e produtos de trabalho relacionados sao revisados visando identificar e tratar inconsistencia em relacao aos requisitos.</t>
        </is>
      </c>
      <c r="I38" s="9" t="inlineStr">
        <is>
          <t>Ha revisoes que checam se planos/produtos estao consistentes com os requisitos?</t>
        </is>
      </c>
      <c r="J38" s="9" t="inlineStr">
        <is>
          <t>Registros de revisao de consistencia com requisitos.</t>
        </is>
      </c>
      <c r="K38" s="9" t="inlineStr">
        <is>
          <t>1) Em revisoes, cheque alinhamento com requisitos. 2) Registre inconsistencias. 3) Trate.</t>
        </is>
      </c>
      <c r="L38" s="9" t="inlineStr">
        <is>
          <t>Produto evolui e diverge dos requisitos sem ninguem notar.</t>
        </is>
      </c>
      <c r="M38" s="9" t="inlineStr">
        <is>
          <t>Revisao por pares, checklist.</t>
        </is>
      </c>
      <c r="N38" s="45" t="inlineStr">
        <is>
          <t>P</t>
        </is>
      </c>
      <c r="O38" s="9" t="inlineStr">
        <is>
          <t>PRO-REQ-001 (revisao de consistencia planos/produtos x requisitos)</t>
        </is>
      </c>
      <c r="P38" s="9" t="n"/>
      <c r="Q38" s="9" t="n"/>
      <c r="R38" s="9" t="inlineStr">
        <is>
          <t>Definicao/processo e template prontos no git; evidencia de execucao por projeto pendente (4 projetos da amostra nao selecionados).</t>
        </is>
      </c>
    </row>
    <row r="39" ht="48" customHeight="1">
      <c r="A39" s="9" t="n">
        <v>38</v>
      </c>
      <c r="B39" s="9" t="inlineStr">
        <is>
          <t>Projeto</t>
        </is>
      </c>
      <c r="C39" s="9" t="inlineStr">
        <is>
          <t>Engenharia de Requisitos</t>
        </is>
      </c>
      <c r="D39" s="9" t="inlineStr">
        <is>
          <t>REQ</t>
        </is>
      </c>
      <c r="E39" s="9" t="inlineStr">
        <is>
          <t>REQ 6 (a partir de D)</t>
        </is>
      </c>
      <c r="F39" s="14" t="inlineStr">
        <is>
          <t>D</t>
        </is>
      </c>
      <c r="G39" s="11" t="inlineStr">
        <is>
          <t>Nao</t>
        </is>
      </c>
      <c r="H39" s="9" t="inlineStr">
        <is>
          <t>Os requisitos sao entendidos e analisados para garantir que sejam necessarios e suficientes e para balancear as necessidades das partes interessadas com as restricoes existentes.</t>
        </is>
      </c>
      <c r="I39" s="9" t="inlineStr">
        <is>
          <t>Os requisitos sao analisados quanto a serem necessarios e suficientes, balanceando necessidades x restricoes?</t>
        </is>
      </c>
      <c r="J39" s="9" t="inlineStr">
        <is>
          <t>Registro de analise de requisitos (necessidade/suficiencia).</t>
        </is>
      </c>
      <c r="K39" s="9" t="inlineStr">
        <is>
          <t>1) Analise cada requisito: e necessario? sao suficientes? 2) Balanceie com restricoes (custo, prazo). 3) Registre decisoes.</t>
        </is>
      </c>
      <c r="L39" s="9" t="inlineStr">
        <is>
          <t>Aceitar todos os requisitos sem analise critica.</t>
        </is>
      </c>
      <c r="M39" s="9" t="inlineStr">
        <is>
          <t>Workshop de requisitos, analise documentada.</t>
        </is>
      </c>
      <c r="N39" s="45" t="inlineStr">
        <is>
          <t>P</t>
        </is>
      </c>
      <c r="O39" s="9" t="inlineStr">
        <is>
          <t>PRO-REQ-001 (analise de necessidade/suficiencia)</t>
        </is>
      </c>
      <c r="P39" s="9" t="n"/>
      <c r="Q39" s="9" t="n"/>
      <c r="R39" s="9" t="inlineStr">
        <is>
          <t>Definicao/processo e template prontos no git; evidencia de execucao por projeto pendente (4 projetos da amostra nao selecionados).</t>
        </is>
      </c>
    </row>
    <row r="40" ht="24" customHeight="1">
      <c r="A40" s="9" t="n">
        <v>39</v>
      </c>
      <c r="B40" s="9" t="inlineStr">
        <is>
          <t>Projeto</t>
        </is>
      </c>
      <c r="C40" s="9" t="inlineStr">
        <is>
          <t>Engenharia de Requisitos</t>
        </is>
      </c>
      <c r="D40" s="9" t="inlineStr">
        <is>
          <t>REQ</t>
        </is>
      </c>
      <c r="E40" s="9" t="inlineStr">
        <is>
          <t>REQ 7 (a partir de D)</t>
        </is>
      </c>
      <c r="F40" s="14" t="inlineStr">
        <is>
          <t>D</t>
        </is>
      </c>
      <c r="G40" s="11" t="inlineStr">
        <is>
          <t>Nao</t>
        </is>
      </c>
      <c r="H40" s="9" t="inlineStr">
        <is>
          <t>Os requisitos sao validados.</t>
        </is>
      </c>
      <c r="I40" s="9" t="inlineStr">
        <is>
          <t>Os requisitos sao validados (confirmados como corretos para o uso pretendido)?</t>
        </is>
      </c>
      <c r="J40" s="9" t="inlineStr">
        <is>
          <t>Registro de validacao de requisitos.</t>
        </is>
      </c>
      <c r="K40" s="9" t="inlineStr">
        <is>
          <t>1) Valide requisitos com usuarios/cliente (prototipos, revisoes). 2) Registre a validacao.</t>
        </is>
      </c>
      <c r="L40" s="9" t="inlineStr">
        <is>
          <t>Validar so o produto final, nunca os requisitos.</t>
        </is>
      </c>
      <c r="M40" s="9" t="inlineStr">
        <is>
          <t>Prototipagem, revisao com usuario.</t>
        </is>
      </c>
      <c r="N40" s="45" t="inlineStr">
        <is>
          <t>P</t>
        </is>
      </c>
      <c r="O40" s="9" t="inlineStr">
        <is>
          <t>PRO-REQ-001 (validacao de requisitos)</t>
        </is>
      </c>
      <c r="P40" s="9" t="n"/>
      <c r="Q40" s="9" t="n"/>
      <c r="R40" s="9" t="inlineStr">
        <is>
          <t>Definicao/processo e template prontos no git; evidencia de execucao por projeto pendente (4 projetos da amostra nao selecionados).</t>
        </is>
      </c>
    </row>
    <row r="41" ht="48" customHeight="1">
      <c r="A41" s="9" t="n">
        <v>40</v>
      </c>
      <c r="B41" s="9" t="inlineStr">
        <is>
          <t>Projeto</t>
        </is>
      </c>
      <c r="C41" s="9" t="inlineStr">
        <is>
          <t>Projeto e Construcao do Produto</t>
        </is>
      </c>
      <c r="D41" s="9" t="inlineStr">
        <is>
          <t>PCP</t>
        </is>
      </c>
      <c r="E41" s="9" t="inlineStr">
        <is>
          <t>PCP 1 (a partir de F)</t>
        </is>
      </c>
      <c r="F41" s="15" t="inlineStr">
        <is>
          <t>F</t>
        </is>
      </c>
      <c r="G41" s="13" t="inlineStr">
        <is>
          <t>Sim</t>
        </is>
      </c>
      <c r="H41" s="9" t="inlineStr">
        <is>
          <t>Um projeto (design) para o produto, que atenda aos requisitos, e desenvolvido com definicao da solucao. (Item requerido: o design deve ser avaliado em relacao a sua rastreabilidade para os requisitos.)</t>
        </is>
      </c>
      <c r="I41" s="9" t="inlineStr">
        <is>
          <t>Existe design do produto rastreavel aos requisitos?</t>
        </is>
      </c>
      <c r="J41" s="9" t="inlineStr">
        <is>
          <t>Documento de design + rastreabilidade design&lt;-&gt;requisitos.</t>
        </is>
      </c>
      <c r="K41" s="9" t="inlineStr">
        <is>
          <t>1) Crie o design da solucao. 2) Vincule cada elemento de design a requisitos. 3) Avalie a rastreabilidade.</t>
        </is>
      </c>
      <c r="L41" s="9" t="inlineStr">
        <is>
          <t>Codificar sem design, ou design sem ligacao com requisitos.</t>
        </is>
      </c>
      <c r="M41" s="9" t="inlineStr">
        <is>
          <t>Diagramas (UML/C4), ADRs, repositorio de design.</t>
        </is>
      </c>
      <c r="N41" s="45" t="inlineStr">
        <is>
          <t>P</t>
        </is>
      </c>
      <c r="O41" s="9" t="inlineStr">
        <is>
          <t>TPL-PCP-001 (Documento de Design + rastreabilidade design&lt;-&gt;requisitos)</t>
        </is>
      </c>
      <c r="P41" s="9" t="n"/>
      <c r="Q41" s="9" t="n"/>
      <c r="R41" s="9" t="inlineStr">
        <is>
          <t>Definicao/processo e template prontos no git; evidencia de execucao por projeto pendente (4 projetos da amostra nao selecionados).</t>
        </is>
      </c>
    </row>
    <row r="42" ht="84" customHeight="1">
      <c r="A42" s="9" t="n">
        <v>41</v>
      </c>
      <c r="B42" s="9" t="inlineStr">
        <is>
          <t>Projeto</t>
        </is>
      </c>
      <c r="C42" s="9" t="inlineStr">
        <is>
          <t>Projeto e Construcao do Produto</t>
        </is>
      </c>
      <c r="D42" s="9" t="inlineStr">
        <is>
          <t>PCP</t>
        </is>
      </c>
      <c r="E42" s="9" t="inlineStr">
        <is>
          <t>PCP 1+ (a partir de D)</t>
        </is>
      </c>
      <c r="F42" s="14" t="inlineStr">
        <is>
          <t>D</t>
        </is>
      </c>
      <c r="G42" s="13" t="inlineStr">
        <is>
          <t>Sim</t>
        </is>
      </c>
      <c r="H42" s="9" t="inlineStr">
        <is>
          <t>Um projeto (design) para o produto e desenvolvido com definicao da solucao selecionada baseada em criterios de projeto pre-definidos. (Itens requeridos: rastreabilidade para requisitos; alternativas de solucao desenvolvidas e analise build/compra/reuso; registrar criterios, alternativas e justificativa da decisao; design descreve estrutura, funcionalidades e interfaces.)</t>
        </is>
      </c>
      <c r="I42" s="9" t="inlineStr">
        <is>
          <t>O design escolhido foi selecionado entre ALTERNATIVAS, com criterios pre-definidos, analise build/buy/reuse e justificativa registrada?</t>
        </is>
      </c>
      <c r="J42" s="9" t="inlineStr">
        <is>
          <t>Registro de alternativas de solucao, criterios, analise build/buy/reuse e justificativa (liga com GDE).</t>
        </is>
      </c>
      <c r="K42" s="9" t="inlineStr">
        <is>
          <t>1) Defina criterios de design antes. 2) Gere alternativas. 3) Analise construir/comprar/reusar. 4) Use processo de decisao (GDE). 5) Registre escolha e justificativa.</t>
        </is>
      </c>
      <c r="L42" s="9" t="inlineStr">
        <is>
          <t>Escolher a primeira solucao sem considerar alternativas.</t>
        </is>
      </c>
      <c r="M42" s="9" t="inlineStr">
        <is>
          <t>GDE (gerencia de decisoes), ADR, matriz de decisao.</t>
        </is>
      </c>
      <c r="N42" s="45" t="inlineStr">
        <is>
          <t>P</t>
        </is>
      </c>
      <c r="O42" s="9" t="inlineStr">
        <is>
          <t>TPL-PCP-001 + TPL-GDE-001/PRO-GDE-001 (alternativas, criterios, justificativa)</t>
        </is>
      </c>
      <c r="P42" s="9" t="n"/>
      <c r="Q42" s="9" t="n"/>
      <c r="R42" s="9" t="inlineStr">
        <is>
          <t>Definicao/processo e template prontos no git; evidencia de execucao por projeto pendente (4 projetos da amostra nao selecionados).</t>
        </is>
      </c>
    </row>
    <row r="43" ht="24" customHeight="1">
      <c r="A43" s="9" t="n">
        <v>42</v>
      </c>
      <c r="B43" s="9" t="inlineStr">
        <is>
          <t>Projeto</t>
        </is>
      </c>
      <c r="C43" s="9" t="inlineStr">
        <is>
          <t>Projeto e Construcao do Produto</t>
        </is>
      </c>
      <c r="D43" s="9" t="inlineStr">
        <is>
          <t>PCP</t>
        </is>
      </c>
      <c r="E43" s="9" t="inlineStr">
        <is>
          <t>PCP 2 (a partir de F)</t>
        </is>
      </c>
      <c r="F43" s="15" t="inlineStr">
        <is>
          <t>F</t>
        </is>
      </c>
      <c r="G43" s="11" t="inlineStr">
        <is>
          <t>Nao</t>
        </is>
      </c>
      <c r="H43" s="9" t="inlineStr">
        <is>
          <t>O projeto (design) e avaliado e os problemas identificados sao tratados.</t>
        </is>
      </c>
      <c r="I43" s="9" t="inlineStr">
        <is>
          <t>O design passa por avaliacao (review) e os problemas sao tratados?</t>
        </is>
      </c>
      <c r="J43" s="9" t="inlineStr">
        <is>
          <t>Registro de revisao de design com problemas tratados.</t>
        </is>
      </c>
      <c r="K43" s="9" t="inlineStr">
        <is>
          <t>1) Revise o design (design review). 2) Registre problemas. 3) Trate antes de codificar.</t>
        </is>
      </c>
      <c r="L43" s="9" t="inlineStr">
        <is>
          <t>Design nunca revisado.</t>
        </is>
      </c>
      <c r="M43" s="9" t="inlineStr">
        <is>
          <t>Design review, revisao por pares.</t>
        </is>
      </c>
      <c r="N43" s="45" t="inlineStr">
        <is>
          <t>P</t>
        </is>
      </c>
      <c r="O43" s="9" t="inlineStr">
        <is>
          <t>PRO-PCP-001 (avaliacao/review de design)</t>
        </is>
      </c>
      <c r="P43" s="9" t="n"/>
      <c r="Q43" s="9" t="n"/>
      <c r="R43" s="9" t="inlineStr">
        <is>
          <t>Definicao/processo e template prontos no git; evidencia de execucao por projeto pendente (4 projetos da amostra nao selecionados).</t>
        </is>
      </c>
    </row>
    <row r="44" ht="24" customHeight="1">
      <c r="A44" s="9" t="n">
        <v>43</v>
      </c>
      <c r="B44" s="9" t="inlineStr">
        <is>
          <t>Projeto</t>
        </is>
      </c>
      <c r="C44" s="9" t="inlineStr">
        <is>
          <t>Projeto e Construcao do Produto</t>
        </is>
      </c>
      <c r="D44" s="9" t="inlineStr">
        <is>
          <t>PCP</t>
        </is>
      </c>
      <c r="E44" s="9" t="inlineStr">
        <is>
          <t>PCP 3 (a partir de F)</t>
        </is>
      </c>
      <c r="F44" s="15" t="inlineStr">
        <is>
          <t>F</t>
        </is>
      </c>
      <c r="G44" s="11" t="inlineStr">
        <is>
          <t>Nao</t>
        </is>
      </c>
      <c r="H44" s="9" t="inlineStr">
        <is>
          <t>O produto e implementado de acordo com o projeto (design).</t>
        </is>
      </c>
      <c r="I44" s="9" t="inlineStr">
        <is>
          <t>O codigo implementado corresponde ao design?</t>
        </is>
      </c>
      <c r="J44" s="9" t="inlineStr">
        <is>
          <t>Codigo versionado coerente com o design.</t>
        </is>
      </c>
      <c r="K44" s="9" t="inlineStr">
        <is>
          <t>1) Implemente seguindo o design. 2) Quando divergir, atualize o design. 3) Mantenha coerencia.</t>
        </is>
      </c>
      <c r="L44" s="9" t="inlineStr">
        <is>
          <t>Codigo diverge do design e ninguem atualiza.</t>
        </is>
      </c>
      <c r="M44" s="9" t="inlineStr">
        <is>
          <t>Git, padroes de codigo (PDS CEMIG).</t>
        </is>
      </c>
      <c r="N44" s="45" t="inlineStr">
        <is>
          <t>P</t>
        </is>
      </c>
      <c r="O44" s="9" t="inlineStr">
        <is>
          <t>Git/Azure DevOps (codigo coerente com o design)</t>
        </is>
      </c>
      <c r="P44" s="9" t="n"/>
      <c r="Q44" s="9" t="n"/>
      <c r="R44" s="9" t="inlineStr">
        <is>
          <t>Definicao/processo e template prontos no git; evidencia de execucao por projeto pendente (4 projetos da amostra nao selecionados).</t>
        </is>
      </c>
    </row>
    <row r="45" ht="48" customHeight="1">
      <c r="A45" s="9" t="n">
        <v>44</v>
      </c>
      <c r="B45" s="9" t="inlineStr">
        <is>
          <t>Projeto</t>
        </is>
      </c>
      <c r="C45" s="9" t="inlineStr">
        <is>
          <t>Projeto e Construcao do Produto</t>
        </is>
      </c>
      <c r="D45" s="9" t="inlineStr">
        <is>
          <t>PCP</t>
        </is>
      </c>
      <c r="E45" s="9" t="inlineStr">
        <is>
          <t>PCP 3+ (a partir de D)</t>
        </is>
      </c>
      <c r="F45" s="14" t="inlineStr">
        <is>
          <t>D</t>
        </is>
      </c>
      <c r="G45" s="11" t="inlineStr">
        <is>
          <t>Nao</t>
        </is>
      </c>
      <c r="H45" s="9" t="inlineStr">
        <is>
          <t>O produto e implementado de acordo com o que foi projetado e as informacoes necessarias sao desenvolvidas, mantidas atualizadas e utilizadas para a sua implementacao, evolucao e sustentacao.</t>
        </is>
      </c>
      <c r="I45" s="9" t="inlineStr">
        <is>
          <t>Alem do codigo, existe documentacao (design, interfaces) mantida para evolucao e sustentacao?</t>
        </is>
      </c>
      <c r="J45" s="9" t="inlineStr">
        <is>
          <t>Documentacao tecnica mantida (design, interfaces, manuais).</t>
        </is>
      </c>
      <c r="K45" s="9" t="inlineStr">
        <is>
          <t>1) Produza e mantenha docs de implementacao. 2) Atualize a cada evolucao. 3) Use na sustentacao.</t>
        </is>
      </c>
      <c r="L45" s="9" t="inlineStr">
        <is>
          <t>Codigo entregue sem documentacao para quem vai sustentar - critico para AMS CEMIG.</t>
        </is>
      </c>
      <c r="M45" s="9" t="inlineStr">
        <is>
          <t>Confluence, JavaDoc, documentacao tecnica.</t>
        </is>
      </c>
      <c r="N45" s="45" t="inlineStr">
        <is>
          <t>P</t>
        </is>
      </c>
      <c r="O45" s="9" t="inlineStr">
        <is>
          <t>PRO-PCP-001 + Confluence (documentacao tecnica mantida)</t>
        </is>
      </c>
      <c r="P45" s="9" t="n"/>
      <c r="Q45" s="9" t="n"/>
      <c r="R45" s="9" t="inlineStr">
        <is>
          <t>Definicao/processo e template prontos no git; evidencia de execucao por projeto pendente (4 projetos da amostra nao selecionados).</t>
        </is>
      </c>
    </row>
    <row r="46" ht="36" customHeight="1">
      <c r="A46" s="9" t="n">
        <v>45</v>
      </c>
      <c r="B46" s="9" t="inlineStr">
        <is>
          <t>Projeto</t>
        </is>
      </c>
      <c r="C46" s="9" t="inlineStr">
        <is>
          <t>Integracao do Produto</t>
        </is>
      </c>
      <c r="D46" s="9" t="inlineStr">
        <is>
          <t>ITP</t>
        </is>
      </c>
      <c r="E46" s="9" t="inlineStr">
        <is>
          <t>ITP 1 (a partir de F)</t>
        </is>
      </c>
      <c r="F46" s="15" t="inlineStr">
        <is>
          <t>F</t>
        </is>
      </c>
      <c r="G46" s="11" t="inlineStr">
        <is>
          <t>Nao</t>
        </is>
      </c>
      <c r="H46" s="9" t="inlineStr">
        <is>
          <t>Uma estrategia para integracao dos componentes do produto e estabelecida e mantida atualizada, incluindo procedimentos e criterios a serem seguidos.</t>
        </is>
      </c>
      <c r="I46" s="9" t="inlineStr">
        <is>
          <t>Existe estrategia de integracao com procedimentos e criterios?</t>
        </is>
      </c>
      <c r="J46" s="9" t="inlineStr">
        <is>
          <t>Documento de estrategia de integracao.</t>
        </is>
      </c>
      <c r="K46" s="9" t="inlineStr">
        <is>
          <t>1) Defina como/quando integrar componentes. 2) Estabeleca procedimentos e criterios. 3) Mantenha.</t>
        </is>
      </c>
      <c r="L46" s="9" t="inlineStr">
        <is>
          <t>Integrar tudo no final sem estrategia ('big bang').</t>
        </is>
      </c>
      <c r="M46" s="9" t="inlineStr">
        <is>
          <t>CI/CD pipeline, estrategia de integracao.</t>
        </is>
      </c>
      <c r="N46" s="45" t="inlineStr">
        <is>
          <t>P</t>
        </is>
      </c>
      <c r="O46" s="9" t="inlineStr">
        <is>
          <t>TPL-ITP-001 (Estrategia de Integracao)</t>
        </is>
      </c>
      <c r="P46" s="9" t="n"/>
      <c r="Q46" s="9" t="n"/>
      <c r="R46" s="9" t="inlineStr">
        <is>
          <t>Definicao/processo e template prontos no git; evidencia de execucao por projeto pendente (4 projetos da amostra nao selecionados).</t>
        </is>
      </c>
    </row>
    <row r="47" ht="48" customHeight="1">
      <c r="A47" s="9" t="n">
        <v>46</v>
      </c>
      <c r="B47" s="9" t="inlineStr">
        <is>
          <t>Projeto</t>
        </is>
      </c>
      <c r="C47" s="9" t="inlineStr">
        <is>
          <t>Integracao do Produto</t>
        </is>
      </c>
      <c r="D47" s="9" t="inlineStr">
        <is>
          <t>ITP</t>
        </is>
      </c>
      <c r="E47" s="9" t="inlineStr">
        <is>
          <t>ITP 1+ (a partir de D)</t>
        </is>
      </c>
      <c r="F47" s="14" t="inlineStr">
        <is>
          <t>D</t>
        </is>
      </c>
      <c r="G47" s="11" t="inlineStr">
        <is>
          <t>Nao</t>
        </is>
      </c>
      <c r="H47" s="9" t="inlineStr">
        <is>
          <t>Uma estrategia para integracao... incluindo procedimentos e criterios..., bem como a descricao das interfaces internas e externas dos componentes, de forma a garantir a cobertura, a completude e a consistencia da solucao.</t>
        </is>
      </c>
      <c r="I47" s="9" t="inlineStr">
        <is>
          <t>A estrategia de integracao descreve interfaces internas e externas garantindo cobertura/completude/consistencia?</t>
        </is>
      </c>
      <c r="J47" s="9" t="inlineStr">
        <is>
          <t>Estrategia de integracao + especificacao de interfaces.</t>
        </is>
      </c>
      <c r="K47" s="9" t="inlineStr">
        <is>
          <t>1) Documente interfaces internas e externas. 2) Garanta que a integracao cobre todas. 3) Verifique consistencia.</t>
        </is>
      </c>
      <c r="L47" s="9" t="inlineStr">
        <is>
          <t>Integracao que ignora interfaces externas (outros sistemas CEMIG).</t>
        </is>
      </c>
      <c r="M47" s="9" t="inlineStr">
        <is>
          <t>Contratos de API, testes de integracao, OpenAPI.</t>
        </is>
      </c>
      <c r="N47" s="45" t="inlineStr">
        <is>
          <t>P</t>
        </is>
      </c>
      <c r="O47" s="9" t="inlineStr">
        <is>
          <t>TPL-ITP-001 (interfaces internas/externas)</t>
        </is>
      </c>
      <c r="P47" s="9" t="n"/>
      <c r="Q47" s="9" t="n"/>
      <c r="R47" s="9" t="inlineStr">
        <is>
          <t>Definicao/processo e template prontos no git; evidencia de execucao por projeto pendente (4 projetos da amostra nao selecionados).</t>
        </is>
      </c>
    </row>
    <row r="48" ht="24" customHeight="1">
      <c r="A48" s="9" t="n">
        <v>47</v>
      </c>
      <c r="B48" s="9" t="inlineStr">
        <is>
          <t>Projeto</t>
        </is>
      </c>
      <c r="C48" s="9" t="inlineStr">
        <is>
          <t>Integracao do Produto</t>
        </is>
      </c>
      <c r="D48" s="9" t="inlineStr">
        <is>
          <t>ITP</t>
        </is>
      </c>
      <c r="E48" s="9" t="inlineStr">
        <is>
          <t>ITP 2 (a partir de F)</t>
        </is>
      </c>
      <c r="F48" s="15" t="inlineStr">
        <is>
          <t>F</t>
        </is>
      </c>
      <c r="G48" s="11" t="inlineStr">
        <is>
          <t>Nao</t>
        </is>
      </c>
      <c r="H48" s="9" t="inlineStr">
        <is>
          <t>Um ambiente para integracao dos componentes do produto e estabelecido e mantido atualizado.</t>
        </is>
      </c>
      <c r="I48" s="9" t="inlineStr">
        <is>
          <t>Existe ambiente de integracao estabelecido e mantido?</t>
        </is>
      </c>
      <c r="J48" s="9" t="inlineStr">
        <is>
          <t>Ambiente de integracao documentado/provisionado.</t>
        </is>
      </c>
      <c r="K48" s="9" t="inlineStr">
        <is>
          <t>1) Provisione ambiente de integracao. 2) Mantenha atualizado.</t>
        </is>
      </c>
      <c r="L48" s="9" t="inlineStr">
        <is>
          <t>Integrar em ambiente de dev improvisado.</t>
        </is>
      </c>
      <c r="M48" s="9" t="inlineStr">
        <is>
          <t>Ambiente de homologacao, Docker, CI.</t>
        </is>
      </c>
      <c r="N48" s="45" t="inlineStr">
        <is>
          <t>P</t>
        </is>
      </c>
      <c r="O48" s="9" t="inlineStr">
        <is>
          <t>Azure DevOps (ambiente de integracao/homologacao)</t>
        </is>
      </c>
      <c r="P48" s="9" t="n"/>
      <c r="Q48" s="9" t="n"/>
      <c r="R48" s="9" t="inlineStr">
        <is>
          <t>Definicao/processo e template prontos no git; evidencia de execucao por projeto pendente (4 projetos da amostra nao selecionados).</t>
        </is>
      </c>
    </row>
    <row r="49" ht="36" customHeight="1">
      <c r="A49" s="9" t="n">
        <v>48</v>
      </c>
      <c r="B49" s="9" t="inlineStr">
        <is>
          <t>Projeto</t>
        </is>
      </c>
      <c r="C49" s="9" t="inlineStr">
        <is>
          <t>Integracao do Produto</t>
        </is>
      </c>
      <c r="D49" s="9" t="inlineStr">
        <is>
          <t>ITP</t>
        </is>
      </c>
      <c r="E49" s="9" t="inlineStr">
        <is>
          <t>ITP 3 (a partir de F)</t>
        </is>
      </c>
      <c r="F49" s="15" t="inlineStr">
        <is>
          <t>F</t>
        </is>
      </c>
      <c r="G49" s="11" t="inlineStr">
        <is>
          <t>Nao</t>
        </is>
      </c>
      <c r="H49" s="9" t="inlineStr">
        <is>
          <t>Cada componente do produto e avaliado para confirmar que esta pronto para a integracao, analisando se atende aos requisitos e ao projeto (design).</t>
        </is>
      </c>
      <c r="I49" s="9" t="inlineStr">
        <is>
          <t>Cada componente e avaliado (atende requisitos e design) antes de integrar?</t>
        </is>
      </c>
      <c r="J49" s="9" t="inlineStr">
        <is>
          <t>Registro de avaliacao de prontidao de componentes.</t>
        </is>
      </c>
      <c r="K49" s="9" t="inlineStr">
        <is>
          <t>1) Antes de integrar, valide o componente contra requisitos/design. 2) Registre.</t>
        </is>
      </c>
      <c r="L49" s="9" t="inlineStr">
        <is>
          <t>Integrar componente incompleto.</t>
        </is>
      </c>
      <c r="M49" s="9" t="inlineStr">
        <is>
          <t>Definition of Done, testes unitarios.</t>
        </is>
      </c>
      <c r="N49" s="45" t="inlineStr">
        <is>
          <t>P</t>
        </is>
      </c>
      <c r="O49" s="9" t="inlineStr">
        <is>
          <t>PRO-ITP-001 (avaliacao de prontidao de componentes / DoD)</t>
        </is>
      </c>
      <c r="P49" s="9" t="n"/>
      <c r="Q49" s="9" t="n"/>
      <c r="R49" s="9" t="inlineStr">
        <is>
          <t>Definicao/processo e template prontos no git; evidencia de execucao por projeto pendente (4 projetos da amostra nao selecionados).</t>
        </is>
      </c>
    </row>
    <row r="50" ht="36" customHeight="1">
      <c r="A50" s="9" t="n">
        <v>49</v>
      </c>
      <c r="B50" s="9" t="inlineStr">
        <is>
          <t>Projeto</t>
        </is>
      </c>
      <c r="C50" s="9" t="inlineStr">
        <is>
          <t>Integracao do Produto</t>
        </is>
      </c>
      <c r="D50" s="9" t="inlineStr">
        <is>
          <t>ITP</t>
        </is>
      </c>
      <c r="E50" s="9" t="inlineStr">
        <is>
          <t>ITP 3+ (a partir de D)</t>
        </is>
      </c>
      <c r="F50" s="14" t="inlineStr">
        <is>
          <t>D</t>
        </is>
      </c>
      <c r="G50" s="11" t="inlineStr">
        <is>
          <t>Nao</t>
        </is>
      </c>
      <c r="H50" s="9" t="inlineStr">
        <is>
          <t>Cada componente e avaliado... analisando se atende aos requisitos, projeto (design) e descricao das interfaces internas e externas.</t>
        </is>
      </c>
      <c r="I50" s="9" t="inlineStr">
        <is>
          <t>A avaliacao de prontidao inclui aderencia as interfaces internas e externas?</t>
        </is>
      </c>
      <c r="J50" s="9" t="inlineStr">
        <is>
          <t>Avaliacao de componente incluindo conformidade de interfaces.</t>
        </is>
      </c>
      <c r="K50" s="9" t="inlineStr">
        <is>
          <t>1) Cheque tambem se o componente respeita as interfaces especificadas. 2) Registre.</t>
        </is>
      </c>
      <c r="L50" s="9" t="inlineStr">
        <is>
          <t>Componente que quebra contrato de interface.</t>
        </is>
      </c>
      <c r="M50" s="9" t="inlineStr">
        <is>
          <t>Testes de contrato, validacao de API.</t>
        </is>
      </c>
      <c r="N50" s="45" t="inlineStr">
        <is>
          <t>P</t>
        </is>
      </c>
      <c r="O50" s="9" t="inlineStr">
        <is>
          <t>PRO-ITP-001 (conformidade de interfaces na prontidao)</t>
        </is>
      </c>
      <c r="P50" s="9" t="n"/>
      <c r="Q50" s="9" t="n"/>
      <c r="R50" s="9" t="inlineStr">
        <is>
          <t>Definicao/processo e template prontos no git; evidencia de execucao por projeto pendente (4 projetos da amostra nao selecionados).</t>
        </is>
      </c>
    </row>
    <row r="51" ht="36" customHeight="1">
      <c r="A51" s="9" t="n">
        <v>50</v>
      </c>
      <c r="B51" s="9" t="inlineStr">
        <is>
          <t>Projeto</t>
        </is>
      </c>
      <c r="C51" s="9" t="inlineStr">
        <is>
          <t>Integracao do Produto</t>
        </is>
      </c>
      <c r="D51" s="9" t="inlineStr">
        <is>
          <t>ITP</t>
        </is>
      </c>
      <c r="E51" s="9" t="inlineStr">
        <is>
          <t>ITP 4 (a partir de F)</t>
        </is>
      </c>
      <c r="F51" s="15" t="inlineStr">
        <is>
          <t>F</t>
        </is>
      </c>
      <c r="G51" s="11" t="inlineStr">
        <is>
          <t>Nao</t>
        </is>
      </c>
      <c r="H51" s="9" t="inlineStr">
        <is>
          <t>Os componentes do produto sao integrados utilizando a estrategia, procedimentos, criterios e o ambiente de integracao estabelecidos.</t>
        </is>
      </c>
      <c r="I51" s="9" t="inlineStr">
        <is>
          <t>A integracao real segue a estrategia/procedimentos/ambiente definidos?</t>
        </is>
      </c>
      <c r="J51" s="9" t="inlineStr">
        <is>
          <t>Registros de integracao (logs de build/CI).</t>
        </is>
      </c>
      <c r="K51" s="9" t="inlineStr">
        <is>
          <t>1) Execute a integracao conforme a estrategia. 2) Use o ambiente definido. 3) Registre.</t>
        </is>
      </c>
      <c r="L51" s="9" t="inlineStr">
        <is>
          <t>Integrar fora do processo definido.</t>
        </is>
      </c>
      <c r="M51" s="9" t="inlineStr">
        <is>
          <t>CI/CD, logs de pipeline.</t>
        </is>
      </c>
      <c r="N51" s="45" t="inlineStr">
        <is>
          <t>P</t>
        </is>
      </c>
      <c r="O51" s="9" t="inlineStr">
        <is>
          <t>Azure DevOps / CI (integracao conforme estrategia - logs)</t>
        </is>
      </c>
      <c r="P51" s="9" t="n"/>
      <c r="Q51" s="9" t="n"/>
      <c r="R51" s="9" t="inlineStr">
        <is>
          <t>Definicao/processo e template prontos no git; evidencia de execucao por projeto pendente (4 projetos da amostra nao selecionados).</t>
        </is>
      </c>
    </row>
    <row r="52" ht="24" customHeight="1">
      <c r="A52" s="9" t="n">
        <v>51</v>
      </c>
      <c r="B52" s="9" t="inlineStr">
        <is>
          <t>Projeto</t>
        </is>
      </c>
      <c r="C52" s="9" t="inlineStr">
        <is>
          <t>Integracao do Produto</t>
        </is>
      </c>
      <c r="D52" s="9" t="inlineStr">
        <is>
          <t>ITP</t>
        </is>
      </c>
      <c r="E52" s="9" t="inlineStr">
        <is>
          <t>ITP 5 (a partir de F)</t>
        </is>
      </c>
      <c r="F52" s="15" t="inlineStr">
        <is>
          <t>F</t>
        </is>
      </c>
      <c r="G52" s="11" t="inlineStr">
        <is>
          <t>Nao</t>
        </is>
      </c>
      <c r="H52" s="9" t="inlineStr">
        <is>
          <t>O produto integrado e testado para assegurar que atende aos requisitos e projeto (design) e os resultados sao registrados.</t>
        </is>
      </c>
      <c r="I52" s="9" t="inlineStr">
        <is>
          <t>O produto integrado e testado contra requisitos/design com resultados registrados?</t>
        </is>
      </c>
      <c r="J52" s="9" t="inlineStr">
        <is>
          <t>Relatorios de teste de integracao.</t>
        </is>
      </c>
      <c r="K52" s="9" t="inlineStr">
        <is>
          <t>1) Teste o produto integrado. 2) Compare com requisitos/design. 3) Registre resultados.</t>
        </is>
      </c>
      <c r="L52" s="9" t="inlineStr">
        <is>
          <t>Integrar e nao testar o conjunto.</t>
        </is>
      </c>
      <c r="M52" s="9" t="inlineStr">
        <is>
          <t>Testes de integracao automatizados, relatorio de testes.</t>
        </is>
      </c>
      <c r="N52" s="45" t="inlineStr">
        <is>
          <t>P</t>
        </is>
      </c>
      <c r="O52" s="9" t="inlineStr">
        <is>
          <t>Azure Test Plans/Xray (teste do produto integrado)</t>
        </is>
      </c>
      <c r="P52" s="9" t="n"/>
      <c r="Q52" s="9" t="n"/>
      <c r="R52" s="9" t="inlineStr">
        <is>
          <t>Definicao/processo e template prontos no git; evidencia de execucao por projeto pendente (4 projetos da amostra nao selecionados).</t>
        </is>
      </c>
    </row>
    <row r="53" ht="36" customHeight="1">
      <c r="A53" s="9" t="n">
        <v>52</v>
      </c>
      <c r="B53" s="9" t="inlineStr">
        <is>
          <t>Projeto</t>
        </is>
      </c>
      <c r="C53" s="9" t="inlineStr">
        <is>
          <t>Integracao do Produto</t>
        </is>
      </c>
      <c r="D53" s="9" t="inlineStr">
        <is>
          <t>ITP</t>
        </is>
      </c>
      <c r="E53" s="9" t="inlineStr">
        <is>
          <t>ITP 5+ (a partir de D)</t>
        </is>
      </c>
      <c r="F53" s="14" t="inlineStr">
        <is>
          <t>D</t>
        </is>
      </c>
      <c r="G53" s="11" t="inlineStr">
        <is>
          <t>Nao</t>
        </is>
      </c>
      <c r="H53" s="9" t="inlineStr">
        <is>
          <t>O produto integrado e testado para assegurar que atende aos requisitos e projeto (design) e a compatibilidade das interfaces, e os resultados sao registrados.</t>
        </is>
      </c>
      <c r="I53" s="9" t="inlineStr">
        <is>
          <t>Os testes de integracao verificam tambem a COMPATIBILIDADE das interfaces?</t>
        </is>
      </c>
      <c r="J53" s="9" t="inlineStr">
        <is>
          <t>Relatorio de testes incluindo testes de interface.</t>
        </is>
      </c>
      <c r="K53" s="9" t="inlineStr">
        <is>
          <t>1) Inclua testes de compatibilidade de interfaces. 2) Registre.</t>
        </is>
      </c>
      <c r="L53" s="9" t="inlineStr">
        <is>
          <t>Testar funcionalidade mas nao a integracao de interfaces.</t>
        </is>
      </c>
      <c r="M53" s="9" t="inlineStr">
        <is>
          <t>Testes de contrato, integracao end-to-end.</t>
        </is>
      </c>
      <c r="N53" s="45" t="inlineStr">
        <is>
          <t>P</t>
        </is>
      </c>
      <c r="O53" s="9" t="inlineStr">
        <is>
          <t>PRO-ITP-001 (testes de compatibilidade de interfaces)</t>
        </is>
      </c>
      <c r="P53" s="9" t="n"/>
      <c r="Q53" s="9" t="n"/>
      <c r="R53" s="9" t="inlineStr">
        <is>
          <t>Definicao/processo e template prontos no git; evidencia de execucao por projeto pendente (4 projetos da amostra nao selecionados).</t>
        </is>
      </c>
    </row>
    <row r="54" ht="24" customHeight="1">
      <c r="A54" s="9" t="n">
        <v>53</v>
      </c>
      <c r="B54" s="9" t="inlineStr">
        <is>
          <t>Projeto</t>
        </is>
      </c>
      <c r="C54" s="9" t="inlineStr">
        <is>
          <t>Integracao do Produto</t>
        </is>
      </c>
      <c r="D54" s="9" t="inlineStr">
        <is>
          <t>ITP</t>
        </is>
      </c>
      <c r="E54" s="9" t="inlineStr">
        <is>
          <t>ITP 6 (a partir de F)</t>
        </is>
      </c>
      <c r="F54" s="15" t="inlineStr">
        <is>
          <t>F</t>
        </is>
      </c>
      <c r="G54" s="11" t="inlineStr">
        <is>
          <t>Nao</t>
        </is>
      </c>
      <c r="H54" s="9" t="inlineStr">
        <is>
          <t>O produto e material de apoio sao preparados e entregues as partes interessadas.</t>
        </is>
      </c>
      <c r="I54" s="9" t="inlineStr">
        <is>
          <t>O produto e seu material de apoio (manuais, instrucoes) sao entregues aos interessados?</t>
        </is>
      </c>
      <c r="J54" s="9" t="inlineStr">
        <is>
          <t>Registro de entrega + material de apoio.</t>
        </is>
      </c>
      <c r="K54" s="9" t="inlineStr">
        <is>
          <t>1) Prepare material de apoio. 2) Entregue formalmente. 3) Registre o aceite.</t>
        </is>
      </c>
      <c r="L54" s="9" t="inlineStr">
        <is>
          <t>Entregar software sem manual/instrucao.</t>
        </is>
      </c>
      <c r="M54" s="9" t="inlineStr">
        <is>
          <t>Release notes, manuais, termo de entrega.</t>
        </is>
      </c>
      <c r="N54" s="45" t="inlineStr">
        <is>
          <t>P</t>
        </is>
      </c>
      <c r="O54" s="9" t="inlineStr">
        <is>
          <t>TPL-GPR-004 + PRO-ITP-001 (release notes/material/entrega)</t>
        </is>
      </c>
      <c r="P54" s="9" t="n"/>
      <c r="Q54" s="9" t="n"/>
      <c r="R54" s="9" t="inlineStr">
        <is>
          <t>Definicao/processo e template prontos no git; evidencia de execucao por projeto pendente (4 projetos da amostra nao selecionados).</t>
        </is>
      </c>
    </row>
    <row r="55" ht="36" customHeight="1">
      <c r="A55" s="9" t="n">
        <v>54</v>
      </c>
      <c r="B55" s="9" t="inlineStr">
        <is>
          <t>Projeto</t>
        </is>
      </c>
      <c r="C55" s="9" t="inlineStr">
        <is>
          <t>Verificacao e Validacao</t>
        </is>
      </c>
      <c r="D55" s="9" t="inlineStr">
        <is>
          <t>VV</t>
        </is>
      </c>
      <c r="E55" s="9" t="inlineStr">
        <is>
          <t>VV 1 (a partir de F)</t>
        </is>
      </c>
      <c r="F55" s="15" t="inlineStr">
        <is>
          <t>F</t>
        </is>
      </c>
      <c r="G55" s="13" t="inlineStr">
        <is>
          <t>Sim</t>
        </is>
      </c>
      <c r="H55" s="9" t="inlineStr">
        <is>
          <t>Produtos de trabalho a serem verificados e validados sao selecionados. (Item requerido: a verificacao deve ser conduzida por meio de testes e revisao por pares.)</t>
        </is>
      </c>
      <c r="I55" s="9" t="inlineStr">
        <is>
          <t>Ha selecao de o que sera verificado/validado? Usa-se TESTES e REVISAO POR PARES?</t>
        </is>
      </c>
      <c r="J55" s="9" t="inlineStr">
        <is>
          <t>Lista de produtos de trabalho selecionados para V&amp;V + evidencia de testes e revisao por pares.</t>
        </is>
      </c>
      <c r="K55" s="9" t="inlineStr">
        <is>
          <t>1) Defina quais artefatos passam por V&amp;V. 2) Garanta os DOIS metodos: testes E revisao por pares. 3) Registre.</t>
        </is>
      </c>
      <c r="L55" s="9" t="inlineStr">
        <is>
          <t>So testar, sem revisao por pares (item requerido exige ambos).</t>
        </is>
      </c>
      <c r="M55" s="9" t="inlineStr">
        <is>
          <t>Pull request review, testes automatizados.</t>
        </is>
      </c>
      <c r="N55" s="45" t="inlineStr">
        <is>
          <t>P</t>
        </is>
      </c>
      <c r="O55" s="9" t="inlineStr">
        <is>
          <t>TPL-VV-001 (Plano de V&amp;V - selecao; testes + revisao por pares)</t>
        </is>
      </c>
      <c r="P55" s="9" t="n"/>
      <c r="Q55" s="9" t="n"/>
      <c r="R55" s="9" t="inlineStr">
        <is>
          <t>Definicao/processo e template prontos no git; evidencia de execucao por projeto pendente (4 projetos da amostra nao selecionados).</t>
        </is>
      </c>
    </row>
    <row r="56" ht="36" customHeight="1">
      <c r="A56" s="9" t="n">
        <v>55</v>
      </c>
      <c r="B56" s="9" t="inlineStr">
        <is>
          <t>Projeto</t>
        </is>
      </c>
      <c r="C56" s="9" t="inlineStr">
        <is>
          <t>Verificacao e Validacao</t>
        </is>
      </c>
      <c r="D56" s="9" t="inlineStr">
        <is>
          <t>VV</t>
        </is>
      </c>
      <c r="E56" s="9" t="inlineStr">
        <is>
          <t>VV 2 (a partir de F)</t>
        </is>
      </c>
      <c r="F56" s="15" t="inlineStr">
        <is>
          <t>F</t>
        </is>
      </c>
      <c r="G56" s="11" t="inlineStr">
        <is>
          <t>Nao</t>
        </is>
      </c>
      <c r="H56" s="9" t="inlineStr">
        <is>
          <t>Procedimentos e material de apoio sao definidos, mantidos atualizados e usados para preparacao e realizacao de revisoes por pares.</t>
        </is>
      </c>
      <c r="I56" s="9" t="inlineStr">
        <is>
          <t>Existem procedimentos e material de apoio para revisao por pares?</t>
        </is>
      </c>
      <c r="J56" s="9" t="inlineStr">
        <is>
          <t>Procedimento de revisao por pares + checklists.</t>
        </is>
      </c>
      <c r="K56" s="9" t="inlineStr">
        <is>
          <t>1) Documente como fazer revisao por pares. 2) Crie checklist. 3) Use em todas as revisoes.</t>
        </is>
      </c>
      <c r="L56" s="9" t="inlineStr">
        <is>
          <t>Revisao por pares informal sem criterio.</t>
        </is>
      </c>
      <c r="M56" s="9" t="inlineStr">
        <is>
          <t>Checklist de code review, guia de PR.</t>
        </is>
      </c>
      <c r="N56" s="45" t="inlineStr">
        <is>
          <t>P</t>
        </is>
      </c>
      <c r="O56" s="9" t="inlineStr">
        <is>
          <t>TPL-VV-002 + PRO-VV-001 (procedimento/checklist de revisao por pares)</t>
        </is>
      </c>
      <c r="P56" s="9" t="n"/>
      <c r="Q56" s="9" t="n"/>
      <c r="R56" s="9" t="inlineStr">
        <is>
          <t>Definicao/processo e template prontos no git; evidencia de execucao por projeto pendente (4 projetos da amostra nao selecionados).</t>
        </is>
      </c>
    </row>
    <row r="57" ht="24" customHeight="1">
      <c r="A57" s="9" t="n">
        <v>56</v>
      </c>
      <c r="B57" s="9" t="inlineStr">
        <is>
          <t>Projeto</t>
        </is>
      </c>
      <c r="C57" s="9" t="inlineStr">
        <is>
          <t>Verificacao e Validacao</t>
        </is>
      </c>
      <c r="D57" s="9" t="inlineStr">
        <is>
          <t>VV</t>
        </is>
      </c>
      <c r="E57" s="9" t="inlineStr">
        <is>
          <t>VV 3 (a partir de F)</t>
        </is>
      </c>
      <c r="F57" s="15" t="inlineStr">
        <is>
          <t>F</t>
        </is>
      </c>
      <c r="G57" s="11" t="inlineStr">
        <is>
          <t>Nao</t>
        </is>
      </c>
      <c r="H57" s="9" t="inlineStr">
        <is>
          <t>Metodos, procedimentos e ambientes sao definidos, mantidos atualizados e usados para verificacao e validacao.</t>
        </is>
      </c>
      <c r="I57" s="9" t="inlineStr">
        <is>
          <t>Estao definidos metodos, procedimentos e ambientes de V&amp;V?</t>
        </is>
      </c>
      <c r="J57" s="9" t="inlineStr">
        <is>
          <t>Documento de metodos/procedimentos de V&amp;V + ambientes de teste.</t>
        </is>
      </c>
      <c r="K57" s="9" t="inlineStr">
        <is>
          <t>1) Defina metodos de teste (unidade, integracao, aceite). 2) Procedimentos. 3) Ambientes. 4) Use.</t>
        </is>
      </c>
      <c r="L57" s="9" t="inlineStr">
        <is>
          <t>Testar sem ambiente/procedimento padronizado.</t>
        </is>
      </c>
      <c r="M57" s="9" t="inlineStr">
        <is>
          <t>Estrategia de testes, ambientes de QA.</t>
        </is>
      </c>
      <c r="N57" s="45" t="inlineStr">
        <is>
          <t>P</t>
        </is>
      </c>
      <c r="O57" s="9" t="inlineStr">
        <is>
          <t>PRO-VV-001 + TPL-VV-001 (metodos/procedimentos/ambientes de V&amp;V)</t>
        </is>
      </c>
      <c r="P57" s="9" t="n"/>
      <c r="Q57" s="9" t="n"/>
      <c r="R57" s="9" t="inlineStr">
        <is>
          <t>Definicao/processo e template prontos no git; evidencia de execucao por projeto pendente (4 projetos da amostra nao selecionados).</t>
        </is>
      </c>
    </row>
    <row r="58" ht="24" customHeight="1">
      <c r="A58" s="9" t="n">
        <v>57</v>
      </c>
      <c r="B58" s="9" t="inlineStr">
        <is>
          <t>Projeto</t>
        </is>
      </c>
      <c r="C58" s="9" t="inlineStr">
        <is>
          <t>Verificacao e Validacao</t>
        </is>
      </c>
      <c r="D58" s="9" t="inlineStr">
        <is>
          <t>VV</t>
        </is>
      </c>
      <c r="E58" s="9" t="inlineStr">
        <is>
          <t>VV 3+ (a partir de D)</t>
        </is>
      </c>
      <c r="F58" s="14" t="inlineStr">
        <is>
          <t>D</t>
        </is>
      </c>
      <c r="G58" s="11" t="inlineStr">
        <is>
          <t>Nao</t>
        </is>
      </c>
      <c r="H58" s="9" t="inlineStr">
        <is>
          <t>Metodos, procedimentos, criterios e ambientes sao definidos, mantidos atualizados e usados para verificacao e validacao.</t>
        </is>
      </c>
      <c r="I58" s="9" t="inlineStr">
        <is>
          <t>Alem de metodos/procedimentos/ambientes, ha CRITERIOS definidos de V&amp;V?</t>
        </is>
      </c>
      <c r="J58" s="9" t="inlineStr">
        <is>
          <t>Criterios de aprovacao/reprovacao de V&amp;V documentados.</t>
        </is>
      </c>
      <c r="K58" s="9" t="inlineStr">
        <is>
          <t>1) Defina criterios objetivos (cobertura minima, criterios de aceite). 2) Aplique. 3) Registre.</t>
        </is>
      </c>
      <c r="L58" s="9" t="inlineStr">
        <is>
          <t>V&amp;V sem criterio claro de pass/fail.</t>
        </is>
      </c>
      <c r="M58" s="9" t="inlineStr">
        <is>
          <t>Criterios de aceite, quality gates (SonarQube).</t>
        </is>
      </c>
      <c r="N58" s="45" t="inlineStr">
        <is>
          <t>P</t>
        </is>
      </c>
      <c r="O58" s="9" t="inlineStr">
        <is>
          <t>TPL-VV-001 (criterios de aprovacao/reprovacao)</t>
        </is>
      </c>
      <c r="P58" s="9" t="n"/>
      <c r="Q58" s="9" t="n"/>
      <c r="R58" s="9" t="inlineStr">
        <is>
          <t>Definicao/processo e template prontos no git; evidencia de execucao por projeto pendente (4 projetos da amostra nao selecionados).</t>
        </is>
      </c>
    </row>
    <row r="59" ht="24" customHeight="1">
      <c r="A59" s="9" t="n">
        <v>58</v>
      </c>
      <c r="B59" s="9" t="inlineStr">
        <is>
          <t>Projeto</t>
        </is>
      </c>
      <c r="C59" s="9" t="inlineStr">
        <is>
          <t>Verificacao e Validacao</t>
        </is>
      </c>
      <c r="D59" s="9" t="inlineStr">
        <is>
          <t>VV</t>
        </is>
      </c>
      <c r="E59" s="9" t="inlineStr">
        <is>
          <t>VV 4 (a partir de F)</t>
        </is>
      </c>
      <c r="F59" s="15" t="inlineStr">
        <is>
          <t>F</t>
        </is>
      </c>
      <c r="G59" s="11" t="inlineStr">
        <is>
          <t>Nao</t>
        </is>
      </c>
      <c r="H59" s="9" t="inlineStr">
        <is>
          <t>Atividades de verificacao e validacao sao realizadas e problemas identificados sao tratados.</t>
        </is>
      </c>
      <c r="I59" s="9" t="inlineStr">
        <is>
          <t>V&amp;V sao executadas de fato e os problemas encontrados sao tratados?</t>
        </is>
      </c>
      <c r="J59" s="9" t="inlineStr">
        <is>
          <t>Registros de execucao de V&amp;V + tratamento de defeitos.</t>
        </is>
      </c>
      <c r="K59" s="9" t="inlineStr">
        <is>
          <t>1) Execute V&amp;V. 2) Registre defeitos. 3) Trate (ou justifique se nao tratado).</t>
        </is>
      </c>
      <c r="L59" s="9" t="inlineStr">
        <is>
          <t>Achar defeito e nao tratar nem registrar.</t>
        </is>
      </c>
      <c r="M59" s="9" t="inlineStr">
        <is>
          <t>Bug tracker, Jira, relatorio de testes.</t>
        </is>
      </c>
      <c r="N59" s="45" t="inlineStr">
        <is>
          <t>P</t>
        </is>
      </c>
      <c r="O59" s="9" t="inlineStr">
        <is>
          <t>Azure Test Plans/Jira-Xray + Git PR (execucao de V&amp;V e tratamento de defeitos)</t>
        </is>
      </c>
      <c r="P59" s="9" t="n"/>
      <c r="Q59" s="9" t="n"/>
      <c r="R59" s="9" t="inlineStr">
        <is>
          <t>Definicao/processo e template prontos no git; evidencia de execucao por projeto pendente (4 projetos da amostra nao selecionados).</t>
        </is>
      </c>
    </row>
    <row r="60" ht="24" customHeight="1">
      <c r="A60" s="9" t="n">
        <v>59</v>
      </c>
      <c r="B60" s="9" t="inlineStr">
        <is>
          <t>Projeto</t>
        </is>
      </c>
      <c r="C60" s="9" t="inlineStr">
        <is>
          <t>Verificacao e Validacao</t>
        </is>
      </c>
      <c r="D60" s="9" t="inlineStr">
        <is>
          <t>VV</t>
        </is>
      </c>
      <c r="E60" s="9" t="inlineStr">
        <is>
          <t>VV 5 (a partir de D)</t>
        </is>
      </c>
      <c r="F60" s="14" t="inlineStr">
        <is>
          <t>D</t>
        </is>
      </c>
      <c r="G60" s="11" t="inlineStr">
        <is>
          <t>Nao</t>
        </is>
      </c>
      <c r="H60" s="9" t="inlineStr">
        <is>
          <t>Os resultados das atividades de verificacao e validacao sao analisados, registrados e comunicados.</t>
        </is>
      </c>
      <c r="I60" s="9" t="inlineStr">
        <is>
          <t>Os resultados de V&amp;V sao analisados, registrados e comunicados aos interessados?</t>
        </is>
      </c>
      <c r="J60" s="9" t="inlineStr">
        <is>
          <t>Relatorio de V&amp;V analisado e comunicado.</t>
        </is>
      </c>
      <c r="K60" s="9" t="inlineStr">
        <is>
          <t>1) Analise resultados (tendencias de defeito). 2) Registre. 3) Comunique aos interessados.</t>
        </is>
      </c>
      <c r="L60" s="9" t="inlineStr">
        <is>
          <t>Resultados de teste ficam so com o QA.</t>
        </is>
      </c>
      <c r="M60" s="9" t="inlineStr">
        <is>
          <t>Dashboard de qualidade, relatorio de testes.</t>
        </is>
      </c>
      <c r="N60" s="45" t="inlineStr">
        <is>
          <t>P</t>
        </is>
      </c>
      <c r="O60" s="9" t="inlineStr">
        <is>
          <t>PRO-VV-001 (resultados de V&amp;V analisados/comunicados)</t>
        </is>
      </c>
      <c r="P60" s="9" t="n"/>
      <c r="Q60" s="9" t="n"/>
      <c r="R60" s="9" t="inlineStr">
        <is>
          <t>Definicao/processo e template prontos no git; evidencia de execucao por projeto pendente (4 projetos da amostra nao selecionados).</t>
        </is>
      </c>
    </row>
    <row r="61" ht="60" customHeight="1">
      <c r="A61" s="9" t="n">
        <v>60</v>
      </c>
      <c r="B61" s="9" t="inlineStr">
        <is>
          <t>Organizacional</t>
        </is>
      </c>
      <c r="C61" s="9" t="inlineStr">
        <is>
          <t>Gerencia de Configuracao</t>
        </is>
      </c>
      <c r="D61" s="9" t="inlineStr">
        <is>
          <t>GCO</t>
        </is>
      </c>
      <c r="E61" s="9" t="inlineStr">
        <is>
          <t>GCO 1 (a partir de F)</t>
        </is>
      </c>
      <c r="F61" s="15" t="inlineStr">
        <is>
          <t>F</t>
        </is>
      </c>
      <c r="G61" s="13" t="inlineStr">
        <is>
          <t>Sim</t>
        </is>
      </c>
      <c r="H61" s="9" t="inlineStr">
        <is>
          <t>Itens de configuracao sao identificados e seus niveis de controle sao estabelecidos. (Itens requeridos: identificar ICs em nivel de projeto e organizacional; informacoes do IC devem incluir identificacao unica, tipo, descricao, situacao e relacao com outros ICs.)</t>
        </is>
      </c>
      <c r="I61" s="9" t="inlineStr">
        <is>
          <t>Os itens de configuracao estao identificados (projeto E organizacao) com identificacao unica, tipo, descricao, situacao e relacoes?</t>
        </is>
      </c>
      <c r="J61" s="9" t="inlineStr">
        <is>
          <t>Lista/registro de itens de configuracao com os metadados requeridos.</t>
        </is>
      </c>
      <c r="K61" s="9" t="inlineStr">
        <is>
          <t>1) Liste o que e IC (codigo, docs, baselines). 2) Para cada um: ID unico, tipo, descricao, situacao, relacoes. 3) Cubra projeto e organizacao.</t>
        </is>
      </c>
      <c r="L61" s="9" t="inlineStr">
        <is>
          <t>So versionar codigo e esquecer documentos/ICs organizacionais.</t>
        </is>
      </c>
      <c r="M61" s="9" t="inlineStr">
        <is>
          <t>Git, ferramenta de GC, planilha de ICs.</t>
        </is>
      </c>
      <c r="N61" s="46" t="inlineStr">
        <is>
          <t>L</t>
        </is>
      </c>
      <c r="O61" s="9" t="inlineStr">
        <is>
          <t>PLA-GCO-001 §3 (itens de configuracao e niveis de controle)</t>
        </is>
      </c>
      <c r="P61" s="9" t="n"/>
      <c r="Q61" s="9" t="n"/>
      <c r="R61" s="9" t="inlineStr">
        <is>
          <t>Definicao pronta + ferramenta em uso (Git); lista de ICs por projeto da amostra pendente.</t>
        </is>
      </c>
    </row>
    <row r="62" ht="24" customHeight="1">
      <c r="A62" s="9" t="n">
        <v>61</v>
      </c>
      <c r="B62" s="9" t="inlineStr">
        <is>
          <t>Organizacional</t>
        </is>
      </c>
      <c r="C62" s="9" t="inlineStr">
        <is>
          <t>Gerencia de Configuracao</t>
        </is>
      </c>
      <c r="D62" s="9" t="inlineStr">
        <is>
          <t>GCO</t>
        </is>
      </c>
      <c r="E62" s="9" t="inlineStr">
        <is>
          <t>GCO 2 (a partir de F)</t>
        </is>
      </c>
      <c r="F62" s="15" t="inlineStr">
        <is>
          <t>F</t>
        </is>
      </c>
      <c r="G62" s="11" t="inlineStr">
        <is>
          <t>Nao</t>
        </is>
      </c>
      <c r="H62" s="9" t="inlineStr">
        <is>
          <t>Um sistema para gerencia de configuracao e controle de mudancas e estabelecido, mantido atualizado e utilizado.</t>
        </is>
      </c>
      <c r="I62" s="9" t="inlineStr">
        <is>
          <t>Existe sistema de GC e controle de mudancas em uso?</t>
        </is>
      </c>
      <c r="J62" s="9" t="inlineStr">
        <is>
          <t>Sistema de GC (Git + processo de controle de mudancas).</t>
        </is>
      </c>
      <c r="K62" s="9" t="inlineStr">
        <is>
          <t>1) Adote repositorio versionado. 2) Defina processo de controle de mudanca (PR, aprovacao). 3) Use sempre.</t>
        </is>
      </c>
      <c r="L62" s="9" t="inlineStr">
        <is>
          <t>Mudanca direto na main sem controle.</t>
        </is>
      </c>
      <c r="M62" s="9" t="inlineStr">
        <is>
          <t>Git/GitLab/GitHub, processo de PR.</t>
        </is>
      </c>
      <c r="N62" s="47" t="inlineStr">
        <is>
          <t>T</t>
        </is>
      </c>
      <c r="O62" s="9" t="inlineStr">
        <is>
          <t>PLA-GCO-001 §4 + Git/Azure DevOps (PR/controle de mudancas) + TPL-GPR-006 (Change Request)</t>
        </is>
      </c>
      <c r="P62" s="9" t="n"/>
      <c r="Q62" s="9" t="n"/>
      <c r="R62" s="9" t="inlineStr">
        <is>
          <t>Sistema de GC e controle de mudancas definido e em uso.</t>
        </is>
      </c>
    </row>
    <row r="63" ht="24" customHeight="1">
      <c r="A63" s="9" t="n">
        <v>62</v>
      </c>
      <c r="B63" s="9" t="inlineStr">
        <is>
          <t>Organizacional</t>
        </is>
      </c>
      <c r="C63" s="9" t="inlineStr">
        <is>
          <t>Gerencia de Configuracao</t>
        </is>
      </c>
      <c r="D63" s="9" t="inlineStr">
        <is>
          <t>GCO</t>
        </is>
      </c>
      <c r="E63" s="9" t="inlineStr">
        <is>
          <t>GCO 3 (a partir de F)</t>
        </is>
      </c>
      <c r="F63" s="15" t="inlineStr">
        <is>
          <t>F</t>
        </is>
      </c>
      <c r="G63" s="11" t="inlineStr">
        <is>
          <t>Nao</t>
        </is>
      </c>
      <c r="H63" s="9" t="inlineStr">
        <is>
          <t>Baselines sao estabelecidas considerando itens internos e/ou entregaveis.</t>
        </is>
      </c>
      <c r="I63" s="9" t="inlineStr">
        <is>
          <t>Sao criadas baselines (versoes formais aprovadas) de itens internos e entregaveis?</t>
        </is>
      </c>
      <c r="J63" s="9" t="inlineStr">
        <is>
          <t>Registro de baselines (tags/releases).</t>
        </is>
      </c>
      <c r="K63" s="9" t="inlineStr">
        <is>
          <t>1) Defina pontos de baseline (fim de fase, release). 2) Crie tag/versao formal. 3) Registre.</t>
        </is>
      </c>
      <c r="L63" s="9" t="inlineStr">
        <is>
          <t>Nao ter versao formal aprovada do que foi entregue.</t>
        </is>
      </c>
      <c r="M63" s="9" t="inlineStr">
        <is>
          <t>Git tags, releases, versionamento semantico.</t>
        </is>
      </c>
      <c r="N63" s="46" t="inlineStr">
        <is>
          <t>L</t>
        </is>
      </c>
      <c r="O63" s="9" t="inlineStr">
        <is>
          <t>PLA-GCO-001 §5 (baselines via tags/releases, versionamento semantico)</t>
        </is>
      </c>
      <c r="P63" s="9" t="n"/>
      <c r="Q63" s="9" t="n"/>
      <c r="R63" s="9" t="inlineStr">
        <is>
          <t>Mecanismo definido e usado no repositorio de processos; baselines dos projetos da amostra pendentes.</t>
        </is>
      </c>
    </row>
    <row r="64" ht="36" customHeight="1">
      <c r="A64" s="9" t="n">
        <v>63</v>
      </c>
      <c r="B64" s="9" t="inlineStr">
        <is>
          <t>Organizacional</t>
        </is>
      </c>
      <c r="C64" s="9" t="inlineStr">
        <is>
          <t>Gerencia de Configuracao</t>
        </is>
      </c>
      <c r="D64" s="9" t="inlineStr">
        <is>
          <t>GCO</t>
        </is>
      </c>
      <c r="E64" s="9" t="inlineStr">
        <is>
          <t>GCO 4 (a partir de F)</t>
        </is>
      </c>
      <c r="F64" s="15" t="inlineStr">
        <is>
          <t>F</t>
        </is>
      </c>
      <c r="G64" s="11" t="inlineStr">
        <is>
          <t>Nao</t>
        </is>
      </c>
      <c r="H64" s="9" t="inlineStr">
        <is>
          <t>Registros de itens de configuracao e de modificacoes realizadas nestes itens sao estabelecidos, mantidos atualizados e utilizados.</t>
        </is>
      </c>
      <c r="I64" s="9" t="inlineStr">
        <is>
          <t>Ha historico de modificacoes dos ICs mantido e usado?</t>
        </is>
      </c>
      <c r="J64" s="9" t="inlineStr">
        <is>
          <t>Historico de mudancas (log do Git, changelog).</t>
        </is>
      </c>
      <c r="K64" s="9" t="inlineStr">
        <is>
          <t>1) Garanta historico de cada mudanca (quem/quando/o que). 2) Mantenha. 3) Use para auditoria.</t>
        </is>
      </c>
      <c r="L64" s="9" t="inlineStr">
        <is>
          <t>Historico de mudanca incompleto ou inacessivel.</t>
        </is>
      </c>
      <c r="M64" s="9" t="inlineStr">
        <is>
          <t>Git log, changelog, audit trail.</t>
        </is>
      </c>
      <c r="N64" s="47" t="inlineStr">
        <is>
          <t>T</t>
        </is>
      </c>
      <c r="O64" s="9" t="inlineStr">
        <is>
          <t>Git log / Azure DevOps (historico automatico de modificacoes) + CONV-ORG-001</t>
        </is>
      </c>
      <c r="P64" s="9" t="n"/>
      <c r="Q64" s="9" t="n"/>
      <c r="R64" s="9" t="inlineStr">
        <is>
          <t>Registro de itens e modificacoes mantido pelas ferramentas.</t>
        </is>
      </c>
    </row>
    <row r="65" ht="60" customHeight="1">
      <c r="A65" s="9" t="n">
        <v>64</v>
      </c>
      <c r="B65" s="9" t="inlineStr">
        <is>
          <t>Organizacional</t>
        </is>
      </c>
      <c r="C65" s="9" t="inlineStr">
        <is>
          <t>Gerencia de Configuracao</t>
        </is>
      </c>
      <c r="D65" s="9" t="inlineStr">
        <is>
          <t>GCO</t>
        </is>
      </c>
      <c r="E65" s="9" t="inlineStr">
        <is>
          <t>GCO 5 (a partir de F)</t>
        </is>
      </c>
      <c r="F65" s="15" t="inlineStr">
        <is>
          <t>F</t>
        </is>
      </c>
      <c r="G65" s="13" t="inlineStr">
        <is>
          <t>Sim</t>
        </is>
      </c>
      <c r="H65" s="9" t="inlineStr">
        <is>
          <t>Auditorias de configuracao sao executadas para avaliar as baselines e o conteudo do sistema de gerencia de configuracao. (Item requerido: as auditorias devem verificar a integridade das baselines, das mudancas e do conteudo do sistema de GC.)</t>
        </is>
      </c>
      <c r="I65" s="9" t="inlineStr">
        <is>
          <t>Sao feitas AUDITORIAS de configuracao verificando integridade de baselines, mudancas e conteudo?</t>
        </is>
      </c>
      <c r="J65" s="9" t="inlineStr">
        <is>
          <t>Relatorios de auditoria de configuracao.</t>
        </is>
      </c>
      <c r="K65" s="9" t="inlineStr">
        <is>
          <t>1) Agende auditorias periodicas de GC. 2) Verifique integridade de baselines e mudancas. 3) Registre.</t>
        </is>
      </c>
      <c r="L65" s="9" t="inlineStr">
        <is>
          <t>Nunca auditar a GC - item requerido.</t>
        </is>
      </c>
      <c r="M65" s="9" t="inlineStr">
        <is>
          <t>Checklist de auditoria de GC, relatorio.</t>
        </is>
      </c>
      <c r="N65" s="45" t="inlineStr">
        <is>
          <t>P</t>
        </is>
      </c>
      <c r="O65" s="9" t="inlineStr">
        <is>
          <t>PLA-GCO-001 §7 (auditoria de configuracao via GQA)</t>
        </is>
      </c>
      <c r="P65" s="9" t="n"/>
      <c r="Q65" s="9" t="n"/>
      <c r="R65" s="9" t="inlineStr">
        <is>
          <t>Procedimento definido; auditoria de configuracao ainda nao executada (item REQUERIDO).</t>
        </is>
      </c>
    </row>
    <row r="66" ht="36" customHeight="1">
      <c r="A66" s="9" t="n">
        <v>65</v>
      </c>
      <c r="B66" s="9" t="inlineStr">
        <is>
          <t>Organizacional</t>
        </is>
      </c>
      <c r="C66" s="9" t="inlineStr">
        <is>
          <t>Aquisicao</t>
        </is>
      </c>
      <c r="D66" s="9" t="inlineStr">
        <is>
          <t>AQU</t>
        </is>
      </c>
      <c r="E66" s="9" t="inlineStr">
        <is>
          <t>AQU 1 (a partir de F)</t>
        </is>
      </c>
      <c r="F66" s="15" t="inlineStr">
        <is>
          <t>F</t>
        </is>
      </c>
      <c r="G66" s="11" t="inlineStr">
        <is>
          <t>Nao</t>
        </is>
      </c>
      <c r="H66" s="9" t="inlineStr">
        <is>
          <t>Criterios para avaliacao de potenciais fornecedores sao identificados e pedidos de propostas de fornecimento sao distribuidos.</t>
        </is>
      </c>
      <c r="I66" s="9" t="inlineStr">
        <is>
          <t>Existem criterios de avaliacao de fornecedores e pedidos de proposta? (Excluivel se a empresa nao terceiriza.)</t>
        </is>
      </c>
      <c r="J66" s="9" t="inlineStr">
        <is>
          <t>Criterios de selecao + RFPs enviados.</t>
        </is>
      </c>
      <c r="K66" s="9" t="inlineStr">
        <is>
          <t>1) Defina criterios de selecao. 2) Distribua pedidos de proposta. 3) Registre. (Ou exclua AQU com justificativa.)</t>
        </is>
      </c>
      <c r="L66" s="9" t="inlineStr">
        <is>
          <t>Contratar fornecedor sem criterio.</t>
        </is>
      </c>
      <c r="M66" s="9" t="inlineStr">
        <is>
          <t>RFP, matriz de criterios.</t>
        </is>
      </c>
      <c r="N66" s="48" t="inlineStr">
        <is>
          <t>NA</t>
        </is>
      </c>
      <c r="O66" s="9" t="inlineStr">
        <is>
          <t>PRO-AQU-001 §3 (na prateleira)</t>
        </is>
      </c>
      <c r="P66" s="9" t="n"/>
      <c r="Q66" s="9" t="n"/>
      <c r="R66" s="9" t="inlineStr">
        <is>
          <t>Candidato a NA: nenhum dos projetos da amostra tem aquisicao/subcontratacao de desenvolvimento. PRO-AQU-001 disponivel. Confirmar NA com a ASR.</t>
        </is>
      </c>
    </row>
    <row r="67" ht="36" customHeight="1">
      <c r="A67" s="9" t="n">
        <v>66</v>
      </c>
      <c r="B67" s="9" t="inlineStr">
        <is>
          <t>Organizacional</t>
        </is>
      </c>
      <c r="C67" s="9" t="inlineStr">
        <is>
          <t>Aquisicao</t>
        </is>
      </c>
      <c r="D67" s="9" t="inlineStr">
        <is>
          <t>AQU</t>
        </is>
      </c>
      <c r="E67" s="9" t="inlineStr">
        <is>
          <t>AQU 2 (a partir de F)</t>
        </is>
      </c>
      <c r="F67" s="15" t="inlineStr">
        <is>
          <t>F</t>
        </is>
      </c>
      <c r="G67" s="11" t="inlineStr">
        <is>
          <t>Nao</t>
        </is>
      </c>
      <c r="H67" s="9" t="inlineStr">
        <is>
          <t>As respostas aos pedidos de propostas sao avaliadas de acordo com os criterios estabelecidos e os fornecedores sao selecionados.</t>
        </is>
      </c>
      <c r="I67" s="9" t="inlineStr">
        <is>
          <t>As propostas sao avaliadas pelos criterios e a selecao e registrada?</t>
        </is>
      </c>
      <c r="J67" s="9" t="inlineStr">
        <is>
          <t>Registro de avaliacao de propostas e selecao.</t>
        </is>
      </c>
      <c r="K67" s="9" t="inlineStr">
        <is>
          <t>1) Avalie propostas pelos criterios. 2) Selecione. 3) Justifique e registre.</t>
        </is>
      </c>
      <c r="L67" s="9" t="inlineStr">
        <is>
          <t>Selecao sem registro de avaliacao.</t>
        </is>
      </c>
      <c r="M67" s="9" t="inlineStr">
        <is>
          <t>Matriz de decisao, GDE.</t>
        </is>
      </c>
      <c r="N67" s="48" t="inlineStr">
        <is>
          <t>NA</t>
        </is>
      </c>
      <c r="O67" s="9" t="inlineStr">
        <is>
          <t>PRO-AQU-001 §4 (na prateleira)</t>
        </is>
      </c>
      <c r="P67" s="9" t="n"/>
      <c r="Q67" s="9" t="n"/>
      <c r="R67" s="9" t="inlineStr">
        <is>
          <t>Candidato a NA (sem aquisicao nos projetos). Confirmar com a ASR.</t>
        </is>
      </c>
    </row>
    <row r="68" ht="36" customHeight="1">
      <c r="A68" s="9" t="n">
        <v>67</v>
      </c>
      <c r="B68" s="9" t="inlineStr">
        <is>
          <t>Organizacional</t>
        </is>
      </c>
      <c r="C68" s="9" t="inlineStr">
        <is>
          <t>Aquisicao</t>
        </is>
      </c>
      <c r="D68" s="9" t="inlineStr">
        <is>
          <t>AQU</t>
        </is>
      </c>
      <c r="E68" s="9" t="inlineStr">
        <is>
          <t>AQU 3 (a partir de F)</t>
        </is>
      </c>
      <c r="F68" s="15" t="inlineStr">
        <is>
          <t>F</t>
        </is>
      </c>
      <c r="G68" s="11" t="inlineStr">
        <is>
          <t>Nao</t>
        </is>
      </c>
      <c r="H68" s="9" t="inlineStr">
        <is>
          <t>As atividades do fornecedor sao monitoradas de forma que as condicoes especificadas no acordo sejam atendidas gerando, quando necessario, atualizacoes no acordo.</t>
        </is>
      </c>
      <c r="I68" s="9" t="inlineStr">
        <is>
          <t>As atividades do fornecedor sao monitoradas contra o acordo?</t>
        </is>
      </c>
      <c r="J68" s="9" t="inlineStr">
        <is>
          <t>Registro de monitoramento do fornecedor.</t>
        </is>
      </c>
      <c r="K68" s="9" t="inlineStr">
        <is>
          <t>1) Acompanhe entregas do fornecedor. 2) Compare com o acordo. 3) Atualize acordo se preciso.</t>
        </is>
      </c>
      <c r="L68" s="9" t="inlineStr">
        <is>
          <t>Contratar e nao acompanhar.</t>
        </is>
      </c>
      <c r="M68" s="9" t="inlineStr">
        <is>
          <t>Reunioes de acompanhamento, SLA tracking.</t>
        </is>
      </c>
      <c r="N68" s="48" t="inlineStr">
        <is>
          <t>NA</t>
        </is>
      </c>
      <c r="O68" s="9" t="inlineStr">
        <is>
          <t>PRO-AQU-001 §5 (na prateleira)</t>
        </is>
      </c>
      <c r="P68" s="9" t="n"/>
      <c r="Q68" s="9" t="n"/>
      <c r="R68" s="9" t="inlineStr">
        <is>
          <t>Candidato a NA (sem aquisicao nos projetos). Confirmar com a ASR.</t>
        </is>
      </c>
    </row>
    <row r="69" ht="48" customHeight="1">
      <c r="A69" s="9" t="n">
        <v>68</v>
      </c>
      <c r="B69" s="9" t="inlineStr">
        <is>
          <t>Organizacional</t>
        </is>
      </c>
      <c r="C69" s="9" t="inlineStr">
        <is>
          <t>Aquisicao</t>
        </is>
      </c>
      <c r="D69" s="9" t="inlineStr">
        <is>
          <t>AQU</t>
        </is>
      </c>
      <c r="E69" s="9" t="inlineStr">
        <is>
          <t>AQU 3+ (a partir de C)</t>
        </is>
      </c>
      <c r="F69" s="16" t="inlineStr">
        <is>
          <t>C</t>
        </is>
      </c>
      <c r="G69" s="11" t="inlineStr">
        <is>
          <t>Nao</t>
        </is>
      </c>
      <c r="H69" s="9" t="inlineStr">
        <is>
          <t>As atividades, os processos e o desempenho do fornecedor sao monitorados de forma que as condicoes especificadas no acordo sejam atendidas gerando, quando necessario, atualizacoes do acordo.</t>
        </is>
      </c>
      <c r="I69" s="9" t="inlineStr">
        <is>
          <t>O monitoramento do fornecedor inclui os PROCESSOS e o DESEMPENHO dele (nao so entregas)?</t>
        </is>
      </c>
      <c r="J69" s="9" t="inlineStr">
        <is>
          <t>Registro de monitoramento de processos e desempenho do fornecedor.</t>
        </is>
      </c>
      <c r="K69" s="9" t="inlineStr">
        <is>
          <t>1) Alem de entregas, avalie processos e desempenho do fornecedor. 2) Registre. 3) Atualize acordo.</t>
        </is>
      </c>
      <c r="L69" s="9" t="inlineStr">
        <is>
          <t>Olhar so entrega final, ignorando como o fornecedor trabalha.</t>
        </is>
      </c>
      <c r="M69" s="9" t="inlineStr">
        <is>
          <t>Indicadores de fornecedor, auditoria de fornecedor.</t>
        </is>
      </c>
      <c r="N69" s="48" t="inlineStr">
        <is>
          <t>NA</t>
        </is>
      </c>
      <c r="O69" s="9" t="inlineStr">
        <is>
          <t>PRO-AQU-001 §5 (na prateleira)</t>
        </is>
      </c>
      <c r="P69" s="9" t="n"/>
      <c r="Q69" s="9" t="n"/>
      <c r="R69" s="9" t="inlineStr">
        <is>
          <t>Candidato a NA (sem aquisicao nos projetos). Confirmar com a ASR.</t>
        </is>
      </c>
    </row>
    <row r="70" ht="24" customHeight="1">
      <c r="A70" s="9" t="n">
        <v>69</v>
      </c>
      <c r="B70" s="9" t="inlineStr">
        <is>
          <t>Organizacional</t>
        </is>
      </c>
      <c r="C70" s="9" t="inlineStr">
        <is>
          <t>Aquisicao</t>
        </is>
      </c>
      <c r="D70" s="9" t="inlineStr">
        <is>
          <t>AQU</t>
        </is>
      </c>
      <c r="E70" s="9" t="inlineStr">
        <is>
          <t>AQU 4 (a partir de F)</t>
        </is>
      </c>
      <c r="F70" s="15" t="inlineStr">
        <is>
          <t>F</t>
        </is>
      </c>
      <c r="G70" s="11" t="inlineStr">
        <is>
          <t>Nao</t>
        </is>
      </c>
      <c r="H70" s="9" t="inlineStr">
        <is>
          <t>As entregas do fornecedor sao avaliadas em relacao ao acordado e o resultado e documentado.</t>
        </is>
      </c>
      <c r="I70" s="9" t="inlineStr">
        <is>
          <t>As entregas do fornecedor sao avaliadas contra o acordo, com resultado documentado?</t>
        </is>
      </c>
      <c r="J70" s="9" t="inlineStr">
        <is>
          <t>Registro de avaliacao de entregas do fornecedor.</t>
        </is>
      </c>
      <c r="K70" s="9" t="inlineStr">
        <is>
          <t>1) Avalie cada entrega contra o acordo. 2) Documente aceite/rejeicao.</t>
        </is>
      </c>
      <c r="L70" s="9" t="inlineStr">
        <is>
          <t>Aceitar entrega sem avaliacao formal.</t>
        </is>
      </c>
      <c r="M70" s="9" t="inlineStr">
        <is>
          <t>Termo de aceite, checklist de entrega.</t>
        </is>
      </c>
      <c r="N70" s="48" t="inlineStr">
        <is>
          <t>NA</t>
        </is>
      </c>
      <c r="O70" s="9" t="inlineStr">
        <is>
          <t>PRO-AQU-001 §6 (na prateleira)</t>
        </is>
      </c>
      <c r="P70" s="9" t="n"/>
      <c r="Q70" s="9" t="n"/>
      <c r="R70" s="9" t="inlineStr">
        <is>
          <t>Candidato a NA (sem aquisicao nos projetos). Confirmar com a ASR.</t>
        </is>
      </c>
    </row>
    <row r="71" ht="36" customHeight="1">
      <c r="A71" s="9" t="n">
        <v>70</v>
      </c>
      <c r="B71" s="9" t="inlineStr">
        <is>
          <t>Organizacional</t>
        </is>
      </c>
      <c r="C71" s="9" t="inlineStr">
        <is>
          <t>Aquisicao</t>
        </is>
      </c>
      <c r="D71" s="9" t="inlineStr">
        <is>
          <t>AQU</t>
        </is>
      </c>
      <c r="E71" s="9" t="inlineStr">
        <is>
          <t>AQU 4+ (a partir de C)</t>
        </is>
      </c>
      <c r="F71" s="16" t="inlineStr">
        <is>
          <t>C</t>
        </is>
      </c>
      <c r="G71" s="11" t="inlineStr">
        <is>
          <t>Nao</t>
        </is>
      </c>
      <c r="H71" s="9" t="inlineStr">
        <is>
          <t>O desempenho do fornecedor e entregas selecionadas sao objeto de revisao tecnica por parte do adquirente e o resultado e documentado.</t>
        </is>
      </c>
      <c r="I71" s="9" t="inlineStr">
        <is>
          <t>Ha REVISAO TECNICA das entregas e desempenho do fornecedor pelo adquirente?</t>
        </is>
      </c>
      <c r="J71" s="9" t="inlineStr">
        <is>
          <t>Registro de revisao tecnica de entregas do fornecedor.</t>
        </is>
      </c>
      <c r="K71" s="9" t="inlineStr">
        <is>
          <t>1) Faca revisao tecnica (nao so administrativa) das entregas selecionadas. 2) Avalie desempenho. 3) Documente.</t>
        </is>
      </c>
      <c r="L71" s="9" t="inlineStr">
        <is>
          <t>Aceite so formal sem revisao tecnica do que veio.</t>
        </is>
      </c>
      <c r="M71" s="9" t="inlineStr">
        <is>
          <t>Revisao tecnica, code review de fornecedor.</t>
        </is>
      </c>
      <c r="N71" s="48" t="inlineStr">
        <is>
          <t>NA</t>
        </is>
      </c>
      <c r="O71" s="9" t="inlineStr">
        <is>
          <t>PRO-AQU-001 §6 (na prateleira)</t>
        </is>
      </c>
      <c r="P71" s="9" t="n"/>
      <c r="Q71" s="9" t="n"/>
      <c r="R71" s="9" t="inlineStr">
        <is>
          <t>Candidato a NA (sem aquisicao nos projetos). Confirmar com a ASR.</t>
        </is>
      </c>
    </row>
    <row r="72" ht="36" customHeight="1">
      <c r="A72" s="9" t="n">
        <v>71</v>
      </c>
      <c r="B72" s="9" t="inlineStr">
        <is>
          <t>Organizacional</t>
        </is>
      </c>
      <c r="C72" s="9" t="inlineStr">
        <is>
          <t>Medicao</t>
        </is>
      </c>
      <c r="D72" s="9" t="inlineStr">
        <is>
          <t>MED</t>
        </is>
      </c>
      <c r="E72" s="9" t="inlineStr">
        <is>
          <t>MED 1 (a partir de F)</t>
        </is>
      </c>
      <c r="F72" s="15" t="inlineStr">
        <is>
          <t>F</t>
        </is>
      </c>
      <c r="G72" s="11" t="inlineStr">
        <is>
          <t>Nao</t>
        </is>
      </c>
      <c r="H72" s="9" t="inlineStr">
        <is>
          <t>Objetivos organizacionais de medicao e de desempenho, derivados dos objetivos de negocio e das necessidades de informacao, sao definidos e mantidos atualizados.</t>
        </is>
      </c>
      <c r="I72" s="9" t="inlineStr">
        <is>
          <t>Existem objetivos de medicao derivados dos objetivos de negocio?</t>
        </is>
      </c>
      <c r="J72" s="9" t="inlineStr">
        <is>
          <t>Documento de objetivos de medicao ligados ao negocio.</t>
        </is>
      </c>
      <c r="K72" s="9" t="inlineStr">
        <is>
          <t>1) Parta dos objetivos de negocio. 2) Defina o que medir para acompanha-los. 3) Documente e atualize.</t>
        </is>
      </c>
      <c r="L72" s="9" t="inlineStr">
        <is>
          <t>Medir por medir, sem ligacao com objetivo.</t>
        </is>
      </c>
      <c r="M72" s="9" t="inlineStr">
        <is>
          <t>GQM (Goal-Question-Metric), plano de medicao.</t>
        </is>
      </c>
      <c r="N72" s="47" t="inlineStr">
        <is>
          <t>T</t>
        </is>
      </c>
      <c r="O72" s="9" t="inlineStr">
        <is>
          <t>PLA-MED-001 §2 (objetivos de medicao ligados ao negocio)</t>
        </is>
      </c>
      <c r="P72" s="9" t="n"/>
      <c r="Q72" s="9" t="n"/>
      <c r="R72" s="9" t="inlineStr">
        <is>
          <t>Definicao completa.</t>
        </is>
      </c>
    </row>
    <row r="73" ht="84" customHeight="1">
      <c r="A73" s="9" t="n">
        <v>72</v>
      </c>
      <c r="B73" s="9" t="inlineStr">
        <is>
          <t>Organizacional</t>
        </is>
      </c>
      <c r="C73" s="9" t="inlineStr">
        <is>
          <t>Medicao</t>
        </is>
      </c>
      <c r="D73" s="9" t="inlineStr">
        <is>
          <t>MED</t>
        </is>
      </c>
      <c r="E73" s="9" t="inlineStr">
        <is>
          <t>MED 2 (a partir de F)</t>
        </is>
      </c>
      <c r="F73" s="15" t="inlineStr">
        <is>
          <t>F</t>
        </is>
      </c>
      <c r="G73" s="13" t="inlineStr">
        <is>
          <t>Sim</t>
        </is>
      </c>
      <c r="H73" s="9" t="inlineStr">
        <is>
          <t>Medidas sao identificadas a partir dos objetivos..., documentadas por meio de definicoes operacionais, mantidas atualizadas e disponibilizadas. (Item requerido: a definicao operacional deve conter nome; objetivo relacionado; formula de calculo; medidas basicas; forma/momento/responsabilidade pela coleta; forma de armazenamento; procedimento e responsabilidade pela analise.)</t>
        </is>
      </c>
      <c r="I73" s="9" t="inlineStr">
        <is>
          <t>Cada medida tem DEFINICAO OPERACIONAL completa (nome, objetivo, formula, coleta, armazenamento, analise)?</t>
        </is>
      </c>
      <c r="J73" s="9" t="inlineStr">
        <is>
          <t>Catalogo de medidas com definicoes operacionais completas.</t>
        </is>
      </c>
      <c r="K73" s="9" t="inlineStr">
        <is>
          <t>1) Para cada medida, preencha TODOS os campos requeridos. 2) Padronize num catalogo. 3) Atualize.</t>
        </is>
      </c>
      <c r="L73" s="9" t="inlineStr">
        <is>
          <t>Medida sem formula ou sem responsavel pela coleta/analise - item requerido.</t>
        </is>
      </c>
      <c r="M73" s="9" t="inlineStr">
        <is>
          <t>Catalogo de medidas, planilha de definicoes operacionais.</t>
        </is>
      </c>
      <c r="N73" s="47" t="inlineStr">
        <is>
          <t>T</t>
        </is>
      </c>
      <c r="O73" s="9" t="inlineStr">
        <is>
          <t>PLA-MED-001 §3 (catalogo de medidas com definicoes operacionais)</t>
        </is>
      </c>
      <c r="P73" s="9" t="n"/>
      <c r="Q73" s="9" t="n"/>
      <c r="R73" s="9" t="inlineStr">
        <is>
          <t>Definicao completa (item REQUERIDO).</t>
        </is>
      </c>
    </row>
    <row r="74" ht="24" customHeight="1">
      <c r="A74" s="9" t="n">
        <v>73</v>
      </c>
      <c r="B74" s="9" t="inlineStr">
        <is>
          <t>Organizacional</t>
        </is>
      </c>
      <c r="C74" s="9" t="inlineStr">
        <is>
          <t>Medicao</t>
        </is>
      </c>
      <c r="D74" s="9" t="inlineStr">
        <is>
          <t>MED</t>
        </is>
      </c>
      <c r="E74" s="9" t="inlineStr">
        <is>
          <t>MED 3 (a partir de F)</t>
        </is>
      </c>
      <c r="F74" s="15" t="inlineStr">
        <is>
          <t>F</t>
        </is>
      </c>
      <c r="G74" s="11" t="inlineStr">
        <is>
          <t>Nao</t>
        </is>
      </c>
      <c r="H74" s="9" t="inlineStr">
        <is>
          <t>Medidas sao coletadas e armazenadas de acordo com as definicoes operacionais.</t>
        </is>
      </c>
      <c r="I74" s="9" t="inlineStr">
        <is>
          <t>As medidas sao coletadas e armazenadas conforme a definicao operacional?</t>
        </is>
      </c>
      <c r="J74" s="9" t="inlineStr">
        <is>
          <t>Dados de medidas coletados e armazenados.</t>
        </is>
      </c>
      <c r="K74" s="9" t="inlineStr">
        <is>
          <t>1) Colete conforme definido. 2) Armazene no local definido. 3) Garanta consistencia.</t>
        </is>
      </c>
      <c r="L74" s="9" t="inlineStr">
        <is>
          <t>Coletar de forma diferente da definicao.</t>
        </is>
      </c>
      <c r="M74" s="9" t="inlineStr">
        <is>
          <t>Repositorio de medidas, automacao de coleta.</t>
        </is>
      </c>
      <c r="N74" s="45" t="inlineStr">
        <is>
          <t>P</t>
        </is>
      </c>
      <c r="O74" s="9" t="inlineStr">
        <is>
          <t>PLA-MED-001 §4 (coleta/armazenamento - Jira)</t>
        </is>
      </c>
      <c r="P74" s="9" t="n"/>
      <c r="Q74" s="9" t="n"/>
      <c r="R74" s="9" t="inlineStr">
        <is>
          <t>Mecanismo definido; coleta efetiva (dados reais) por projeto pendente.</t>
        </is>
      </c>
    </row>
    <row r="75" ht="36" customHeight="1">
      <c r="A75" s="9" t="n">
        <v>74</v>
      </c>
      <c r="B75" s="9" t="inlineStr">
        <is>
          <t>Organizacional</t>
        </is>
      </c>
      <c r="C75" s="9" t="inlineStr">
        <is>
          <t>Medicao</t>
        </is>
      </c>
      <c r="D75" s="9" t="inlineStr">
        <is>
          <t>MED</t>
        </is>
      </c>
      <c r="E75" s="9" t="inlineStr">
        <is>
          <t>MED 3+ (a partir de C)</t>
        </is>
      </c>
      <c r="F75" s="16" t="inlineStr">
        <is>
          <t>C</t>
        </is>
      </c>
      <c r="G75" s="11" t="inlineStr">
        <is>
          <t>Nao</t>
        </is>
      </c>
      <c r="H75" s="9" t="inlineStr">
        <is>
          <t>Medidas sao coletadas e verificadas, usando os procedimentos para garantia da qualidade de medidas, e armazenadas de acordo com as definicoes operacionais.</t>
        </is>
      </c>
      <c r="I75" s="9" t="inlineStr">
        <is>
          <t>As medidas coletadas sao VERIFICADAS (acuracia, precisao, completeza) antes de usar?</t>
        </is>
      </c>
      <c r="J75" s="9" t="inlineStr">
        <is>
          <t>Registro de verificacao da qualidade das medidas.</t>
        </is>
      </c>
      <c r="K75" s="9" t="inlineStr">
        <is>
          <t>1) Defina procedimento de GQ de medidas. 2) Verifique acuracia/precisao/completeza. 3) Registre.</t>
        </is>
      </c>
      <c r="L75" s="9" t="inlineStr">
        <is>
          <t>Usar medida errada/incompleta sem verificar.</t>
        </is>
      </c>
      <c r="M75" s="9" t="inlineStr">
        <is>
          <t>Procedimento de GQ de medidas, validacao automatizada.</t>
        </is>
      </c>
      <c r="N75" s="45" t="inlineStr">
        <is>
          <t>P</t>
        </is>
      </c>
      <c r="O75" s="9" t="inlineStr">
        <is>
          <t>PLA-MED-001 §8 (GQ das medidas - verificacao)</t>
        </is>
      </c>
      <c r="P75" s="9" t="n"/>
      <c r="Q75" s="9" t="n"/>
      <c r="R75" s="9" t="inlineStr">
        <is>
          <t>Procedimento definido; verificacao das medidas ainda nao executada.</t>
        </is>
      </c>
    </row>
    <row r="76" ht="24" customHeight="1">
      <c r="A76" s="9" t="n">
        <v>75</v>
      </c>
      <c r="B76" s="9" t="inlineStr">
        <is>
          <t>Organizacional</t>
        </is>
      </c>
      <c r="C76" s="9" t="inlineStr">
        <is>
          <t>Medicao</t>
        </is>
      </c>
      <c r="D76" s="9" t="inlineStr">
        <is>
          <t>MED</t>
        </is>
      </c>
      <c r="E76" s="9" t="inlineStr">
        <is>
          <t>MED 4 (a partir de F)</t>
        </is>
      </c>
      <c r="F76" s="15" t="inlineStr">
        <is>
          <t>F</t>
        </is>
      </c>
      <c r="G76" s="11" t="inlineStr">
        <is>
          <t>Nao</t>
        </is>
      </c>
      <c r="H76" s="9" t="inlineStr">
        <is>
          <t>Medidas sao analisadas e os resultados da analise sao armazenados de acordo com as definicoes operacionais.</t>
        </is>
      </c>
      <c r="I76" s="9" t="inlineStr">
        <is>
          <t>As medidas sao analisadas (nivel projeto) e os resultados armazenados?</t>
        </is>
      </c>
      <c r="J76" s="9" t="inlineStr">
        <is>
          <t>Analises de medidas armazenadas.</t>
        </is>
      </c>
      <c r="K76" s="9" t="inlineStr">
        <is>
          <t>1) Analise as medidas conforme definido. 2) Armazene resultados.</t>
        </is>
      </c>
      <c r="L76" s="9" t="inlineStr">
        <is>
          <t>Coletar e nunca analisar.</t>
        </is>
      </c>
      <c r="M76" s="9" t="inlineStr">
        <is>
          <t>Dashboards, planilhas de analise.</t>
        </is>
      </c>
      <c r="N76" s="45" t="inlineStr">
        <is>
          <t>P</t>
        </is>
      </c>
      <c r="O76" s="9" t="inlineStr">
        <is>
          <t>PLA-MED-001 §5 (analise das medidas)</t>
        </is>
      </c>
      <c r="P76" s="9" t="n"/>
      <c r="Q76" s="9" t="n"/>
      <c r="R76" s="9" t="inlineStr">
        <is>
          <t>Metodo definido; analises efetivas pendentes.</t>
        </is>
      </c>
    </row>
    <row r="77" ht="60" customHeight="1">
      <c r="A77" s="9" t="n">
        <v>76</v>
      </c>
      <c r="B77" s="9" t="inlineStr">
        <is>
          <t>Organizacional</t>
        </is>
      </c>
      <c r="C77" s="9" t="inlineStr">
        <is>
          <t>Medicao</t>
        </is>
      </c>
      <c r="D77" s="9" t="inlineStr">
        <is>
          <t>MED</t>
        </is>
      </c>
      <c r="E77" s="9" t="inlineStr">
        <is>
          <t>MED 4+ (a partir de C)</t>
        </is>
      </c>
      <c r="F77" s="16" t="inlineStr">
        <is>
          <t>C</t>
        </is>
      </c>
      <c r="G77" s="13" t="inlineStr">
        <is>
          <t>Sim</t>
        </is>
      </c>
      <c r="H77" s="9" t="inlineStr">
        <is>
          <t>O desempenho organizacional e analisado, a partir das medidas e de acordo com as definicoes operacionais, com o objetivo de determinar e tratar necessidades de melhoria de desempenho. (Item requerido: as medidas devem estar consolidadas no repositorio organizacional de medidas.)</t>
        </is>
      </c>
      <c r="I77" s="9" t="inlineStr">
        <is>
          <t>Existe analise de DESEMPENHO ORGANIZACIONAL com medidas consolidadas no repositorio organizacional?</t>
        </is>
      </c>
      <c r="J77" s="9" t="inlineStr">
        <is>
          <t>Analise de desempenho organizacional baseada no repositorio consolidado.</t>
        </is>
      </c>
      <c r="K77" s="9" t="inlineStr">
        <is>
          <t>1) Consolide medidas de todos os projetos no repositorio organizacional. 2) Analise desempenho da organizacao. 3) Identifique e trate melhorias.</t>
        </is>
      </c>
      <c r="L77" s="9" t="inlineStr">
        <is>
          <t>Analisar so projeto a projeto, sem visao organizacional - item requerido exige consolidacao.</t>
        </is>
      </c>
      <c r="M77" s="9" t="inlineStr">
        <is>
          <t>Repositorio organizacional de medidas, Power BI.</t>
        </is>
      </c>
      <c r="N77" s="49" t="inlineStr">
        <is>
          <t>N</t>
        </is>
      </c>
      <c r="O77" s="9" t="inlineStr">
        <is>
          <t>PLA-MED-001 §5 (analise de desempenho organizacional)</t>
        </is>
      </c>
      <c r="P77" s="9" t="n"/>
      <c r="Q77" s="9" t="n"/>
      <c r="R77" s="9" t="inlineStr">
        <is>
          <t>Camada de consolidacao de indicadores (dashboard/repositorio organizacional) ainda nao definida nem produzida - pendencia (MAPA-ORG-001 / PENDENCIAS). Item REQUERIDO.</t>
        </is>
      </c>
    </row>
    <row r="78" ht="36" customHeight="1">
      <c r="A78" s="9" t="n">
        <v>77</v>
      </c>
      <c r="B78" s="9" t="inlineStr">
        <is>
          <t>Organizacional</t>
        </is>
      </c>
      <c r="C78" s="9" t="inlineStr">
        <is>
          <t>Medicao</t>
        </is>
      </c>
      <c r="D78" s="9" t="inlineStr">
        <is>
          <t>MED</t>
        </is>
      </c>
      <c r="E78" s="9" t="inlineStr">
        <is>
          <t>MED 5 (a partir de F)</t>
        </is>
      </c>
      <c r="F78" s="15" t="inlineStr">
        <is>
          <t>F</t>
        </is>
      </c>
      <c r="G78" s="11" t="inlineStr">
        <is>
          <t>Nao</t>
        </is>
      </c>
      <c r="H78" s="9" t="inlineStr">
        <is>
          <t>A partir do resultado da analise das medidas, acoes corretivas sao realizadas visando alcancar os objetivos de desempenho estabelecidos.</t>
        </is>
      </c>
      <c r="I78" s="9" t="inlineStr">
        <is>
          <t>A analise das medidas gera acoes corretivas para atingir os objetivos?</t>
        </is>
      </c>
      <c r="J78" s="9" t="inlineStr">
        <is>
          <t>Registro de acoes corretivas originadas da medicao.</t>
        </is>
      </c>
      <c r="K78" s="9" t="inlineStr">
        <is>
          <t>1) Quando medida indica desvio do objetivo, abra acao. 2) Acompanhe.</t>
        </is>
      </c>
      <c r="L78" s="9" t="inlineStr">
        <is>
          <t>Analisar e nao agir.</t>
        </is>
      </c>
      <c r="M78" s="9" t="inlineStr">
        <is>
          <t>Plano de acao, ciclo PDCA.</t>
        </is>
      </c>
      <c r="N78" s="45" t="inlineStr">
        <is>
          <t>P</t>
        </is>
      </c>
      <c r="O78" s="9" t="inlineStr">
        <is>
          <t>PLA-MED-001 §6 (acoes corretivas a partir da medicao)</t>
        </is>
      </c>
      <c r="P78" s="9" t="n"/>
      <c r="Q78" s="9" t="n"/>
      <c r="R78" s="9" t="inlineStr">
        <is>
          <t>Mecanismo definido; registros de acoes pendentes.</t>
        </is>
      </c>
    </row>
    <row r="79" ht="24" customHeight="1">
      <c r="A79" s="9" t="n">
        <v>78</v>
      </c>
      <c r="B79" s="9" t="inlineStr">
        <is>
          <t>Organizacional</t>
        </is>
      </c>
      <c r="C79" s="9" t="inlineStr">
        <is>
          <t>Medicao</t>
        </is>
      </c>
      <c r="D79" s="9" t="inlineStr">
        <is>
          <t>MED</t>
        </is>
      </c>
      <c r="E79" s="9" t="inlineStr">
        <is>
          <t>MED 6 (a partir de C)</t>
        </is>
      </c>
      <c r="F79" s="16" t="inlineStr">
        <is>
          <t>C</t>
        </is>
      </c>
      <c r="G79" s="11" t="inlineStr">
        <is>
          <t>Nao</t>
        </is>
      </c>
      <c r="H79" s="9" t="inlineStr">
        <is>
          <t>Resultados de desempenho sao periodicamente comunicados a organizacao.</t>
        </is>
      </c>
      <c r="I79" s="9" t="inlineStr">
        <is>
          <t>Os resultados de desempenho sao comunicados PERIODICAMENTE a organizacao?</t>
        </is>
      </c>
      <c r="J79" s="9" t="inlineStr">
        <is>
          <t>Registros de comunicacao periodica de desempenho.</t>
        </is>
      </c>
      <c r="K79" s="9" t="inlineStr">
        <is>
          <t>1) Defina cadencia (mensal/trimestral). 2) Comunique resultados a organizacao. 3) Registre.</t>
        </is>
      </c>
      <c r="L79" s="9" t="inlineStr">
        <is>
          <t>Resultados ficam so com a gerencia, sem comunicacao ampla.</t>
        </is>
      </c>
      <c r="M79" s="9" t="inlineStr">
        <is>
          <t>Newsletter interna, reuniao de resultados, dashboard publicado.</t>
        </is>
      </c>
      <c r="N79" s="45" t="inlineStr">
        <is>
          <t>P</t>
        </is>
      </c>
      <c r="O79" s="9" t="inlineStr">
        <is>
          <t>PLA-MED-001 §7 (comunicacao periodica de resultados)</t>
        </is>
      </c>
      <c r="P79" s="9" t="n"/>
      <c r="Q79" s="9" t="n"/>
      <c r="R79" s="9" t="inlineStr">
        <is>
          <t>Cadencia definida; registros de comunicacao periodica pendentes.</t>
        </is>
      </c>
    </row>
    <row r="80" ht="36" customHeight="1">
      <c r="A80" s="9" t="n">
        <v>79</v>
      </c>
      <c r="B80" s="9" t="inlineStr">
        <is>
          <t>Organizacional</t>
        </is>
      </c>
      <c r="C80" s="9" t="inlineStr">
        <is>
          <t>Medicao</t>
        </is>
      </c>
      <c r="D80" s="9" t="inlineStr">
        <is>
          <t>MED</t>
        </is>
      </c>
      <c r="E80" s="9" t="inlineStr">
        <is>
          <t>MED 7 (a partir de C)</t>
        </is>
      </c>
      <c r="F80" s="16" t="inlineStr">
        <is>
          <t>C</t>
        </is>
      </c>
      <c r="G80" s="11" t="inlineStr">
        <is>
          <t>Nao</t>
        </is>
      </c>
      <c r="H80" s="9" t="inlineStr">
        <is>
          <t>O repositorio organizacional de medidas e avaliado periodicamente usando procedimentos para assegurar a qualidade de medidas.</t>
        </is>
      </c>
      <c r="I80" s="9" t="inlineStr">
        <is>
          <t>O repositorio organizacional de medidas e avaliado periodicamente quanto a qualidade?</t>
        </is>
      </c>
      <c r="J80" s="9" t="inlineStr">
        <is>
          <t>Registro de avaliacao periodica do repositorio de medidas.</t>
        </is>
      </c>
      <c r="K80" s="9" t="inlineStr">
        <is>
          <t>1) Avalie periodicamente a qualidade dos dados do repositorio. 2) Use procedimentos de GQ. 3) Corrija.</t>
        </is>
      </c>
      <c r="L80" s="9" t="inlineStr">
        <is>
          <t>Repositorio com dados sujos/inconsistentes nunca auditado.</t>
        </is>
      </c>
      <c r="M80" s="9" t="inlineStr">
        <is>
          <t>Procedimento de auditoria de dados, automacao.</t>
        </is>
      </c>
      <c r="N80" s="45" t="inlineStr">
        <is>
          <t>P</t>
        </is>
      </c>
      <c r="O80" s="9" t="inlineStr">
        <is>
          <t>PLA-MED-001 §8 (avaliacao periodica do repositorio de medidas)</t>
        </is>
      </c>
      <c r="P80" s="9" t="n"/>
      <c r="Q80" s="9" t="n"/>
      <c r="R80" s="9" t="inlineStr">
        <is>
          <t>Procedimento definido; avaliacao do repositorio depende da consolidacao (ver MED 4+).</t>
        </is>
      </c>
    </row>
    <row r="81" ht="48" customHeight="1">
      <c r="A81" s="9" t="n">
        <v>80</v>
      </c>
      <c r="B81" s="9" t="inlineStr">
        <is>
          <t>Organizacional</t>
        </is>
      </c>
      <c r="C81" s="9" t="inlineStr">
        <is>
          <t>Gerencia de Decisoes</t>
        </is>
      </c>
      <c r="D81" s="9" t="inlineStr">
        <is>
          <t>GDE</t>
        </is>
      </c>
      <c r="E81" s="9" t="inlineStr">
        <is>
          <t>GDE 1 (a partir de F)</t>
        </is>
      </c>
      <c r="F81" s="15" t="inlineStr">
        <is>
          <t>F</t>
        </is>
      </c>
      <c r="G81" s="11" t="inlineStr">
        <is>
          <t>Nao</t>
        </is>
      </c>
      <c r="H81" s="9" t="inlineStr">
        <is>
          <t>Diretrizes definindo quando um processo formal de tomada de decisao, baseado em criterios, deve ser seguido e com a definicao de papeis, com autoridade para tomada de decisao, sao estabelecidas, mantidas atualizadas e usadas.</t>
        </is>
      </c>
      <c r="I81" s="9" t="inlineStr">
        <is>
          <t>Existem diretrizes de QUANDO usar decisao formal e QUEM tem autoridade para decidir?</t>
        </is>
      </c>
      <c r="J81" s="9" t="inlineStr">
        <is>
          <t>Diretrizes de tomada de decisao formal com papeis/autoridade.</t>
        </is>
      </c>
      <c r="K81" s="9" t="inlineStr">
        <is>
          <t>1) Defina quando uma decisao exige processo formal (ex: arquitetura, build/buy). 2) Defina papeis e autoridade. 3) Documente.</t>
        </is>
      </c>
      <c r="L81" s="9" t="inlineStr">
        <is>
          <t>Toda decisao informal, ou ninguem sabe quem decide.</t>
        </is>
      </c>
      <c r="M81" s="9" t="inlineStr">
        <is>
          <t>Politica de decisoes, RACI.</t>
        </is>
      </c>
      <c r="N81" s="47" t="inlineStr">
        <is>
          <t>T</t>
        </is>
      </c>
      <c r="O81" s="9" t="inlineStr">
        <is>
          <t>PRO-GDE-001 §3 (gatilhos: quando usar decisao formal + papeis)</t>
        </is>
      </c>
      <c r="P81" s="9" t="n"/>
      <c r="Q81" s="9" t="n"/>
      <c r="R81" s="9" t="inlineStr">
        <is>
          <t>Diretrizes definidas.</t>
        </is>
      </c>
    </row>
    <row r="82" ht="24" customHeight="1">
      <c r="A82" s="9" t="n">
        <v>81</v>
      </c>
      <c r="B82" s="9" t="inlineStr">
        <is>
          <t>Organizacional</t>
        </is>
      </c>
      <c r="C82" s="9" t="inlineStr">
        <is>
          <t>Gerencia de Decisoes</t>
        </is>
      </c>
      <c r="D82" s="9" t="inlineStr">
        <is>
          <t>GDE</t>
        </is>
      </c>
      <c r="E82" s="9" t="inlineStr">
        <is>
          <t>GDE 2 (a partir de F)</t>
        </is>
      </c>
      <c r="F82" s="15" t="inlineStr">
        <is>
          <t>F</t>
        </is>
      </c>
      <c r="G82" s="11" t="inlineStr">
        <is>
          <t>Nao</t>
        </is>
      </c>
      <c r="H82" s="9" t="inlineStr">
        <is>
          <t>O problema ou questao a ser objeto de um processo formal de tomada de decisao e definido.</t>
        </is>
      </c>
      <c r="I82" s="9" t="inlineStr">
        <is>
          <t>Quando ha decisao formal, o problema/questao e claramente definido?</t>
        </is>
      </c>
      <c r="J82" s="9" t="inlineStr">
        <is>
          <t>Registro do problema/questao da decisao.</t>
        </is>
      </c>
      <c r="K82" s="9" t="inlineStr">
        <is>
          <t>1) Escreva claramente o problema a decidir. 2) Registre.</t>
        </is>
      </c>
      <c r="L82" s="9" t="inlineStr">
        <is>
          <t>Decidir sem definir bem a questao.</t>
        </is>
      </c>
      <c r="M82" s="9" t="inlineStr">
        <is>
          <t>ADR (Architecture Decision Record), template de decisao.</t>
        </is>
      </c>
      <c r="N82" s="45" t="inlineStr">
        <is>
          <t>P</t>
        </is>
      </c>
      <c r="O82" s="9" t="inlineStr">
        <is>
          <t>PRO-GDE-001 §4-5 + TPL-GDE-001 (RAD)</t>
        </is>
      </c>
      <c r="P82" s="9" t="n"/>
      <c r="Q82" s="9" t="n"/>
      <c r="R82" s="9" t="inlineStr">
        <is>
          <t>Processo e template prontos; decision log com decisoes reais pendente.</t>
        </is>
      </c>
    </row>
    <row r="83" ht="24" customHeight="1">
      <c r="A83" s="9" t="n">
        <v>82</v>
      </c>
      <c r="B83" s="9" t="inlineStr">
        <is>
          <t>Organizacional</t>
        </is>
      </c>
      <c r="C83" s="9" t="inlineStr">
        <is>
          <t>Gerencia de Decisoes</t>
        </is>
      </c>
      <c r="D83" s="9" t="inlineStr">
        <is>
          <t>GDE</t>
        </is>
      </c>
      <c r="E83" s="9" t="inlineStr">
        <is>
          <t>GDE 3 (a partir de F)</t>
        </is>
      </c>
      <c r="F83" s="15" t="inlineStr">
        <is>
          <t>F</t>
        </is>
      </c>
      <c r="G83" s="11" t="inlineStr">
        <is>
          <t>Nao</t>
        </is>
      </c>
      <c r="H83" s="9" t="inlineStr">
        <is>
          <t>Alternativas de solucao para o problema ou questao sao identificadas e registradas.</t>
        </is>
      </c>
      <c r="I83" s="9" t="inlineStr">
        <is>
          <t>As alternativas de solucao sao identificadas e registradas?</t>
        </is>
      </c>
      <c r="J83" s="9" t="inlineStr">
        <is>
          <t>Registro de alternativas avaliadas.</t>
        </is>
      </c>
      <c r="K83" s="9" t="inlineStr">
        <is>
          <t>1) Liste alternativas viaveis. 2) Registre cada uma.</t>
        </is>
      </c>
      <c r="L83" s="9" t="inlineStr">
        <is>
          <t>Considerar uma unica opcao.</t>
        </is>
      </c>
      <c r="M83" s="9" t="inlineStr">
        <is>
          <t>ADR, matriz de alternativas.</t>
        </is>
      </c>
      <c r="N83" s="45" t="inlineStr">
        <is>
          <t>P</t>
        </is>
      </c>
      <c r="O83" s="9" t="inlineStr">
        <is>
          <t>PRO-GDE-001 §4-5 + TPL-GDE-001 (alternativas)</t>
        </is>
      </c>
      <c r="P83" s="9" t="n"/>
      <c r="Q83" s="9" t="n"/>
      <c r="R83" s="9" t="inlineStr">
        <is>
          <t>Processo/template prontos; registros reais pendentes.</t>
        </is>
      </c>
    </row>
    <row r="84" ht="24" customHeight="1">
      <c r="A84" s="9" t="n">
        <v>83</v>
      </c>
      <c r="B84" s="9" t="inlineStr">
        <is>
          <t>Organizacional</t>
        </is>
      </c>
      <c r="C84" s="9" t="inlineStr">
        <is>
          <t>Gerencia de Decisoes</t>
        </is>
      </c>
      <c r="D84" s="9" t="inlineStr">
        <is>
          <t>GDE</t>
        </is>
      </c>
      <c r="E84" s="9" t="inlineStr">
        <is>
          <t>GDE 4 (a partir de F)</t>
        </is>
      </c>
      <c r="F84" s="15" t="inlineStr">
        <is>
          <t>F</t>
        </is>
      </c>
      <c r="G84" s="11" t="inlineStr">
        <is>
          <t>Nao</t>
        </is>
      </c>
      <c r="H84" s="9" t="inlineStr">
        <is>
          <t>Criterios para avaliacao das alternativas de solucao sao definidos.</t>
        </is>
      </c>
      <c r="I84" s="9" t="inlineStr">
        <is>
          <t>Ha criterios definidos para comparar as alternativas?</t>
        </is>
      </c>
      <c r="J84" s="9" t="inlineStr">
        <is>
          <t>Lista de criterios de avaliacao.</t>
        </is>
      </c>
      <c r="K84" s="9" t="inlineStr">
        <is>
          <t>1) Defina criterios (custo, prazo, risco, manutenibilidade). 2) Pondere se preciso.</t>
        </is>
      </c>
      <c r="L84" s="9" t="inlineStr">
        <is>
          <t>Decidir 'no feeling' sem criterio.</t>
        </is>
      </c>
      <c r="M84" s="9" t="inlineStr">
        <is>
          <t>Matriz de decisao ponderada.</t>
        </is>
      </c>
      <c r="N84" s="45" t="inlineStr">
        <is>
          <t>P</t>
        </is>
      </c>
      <c r="O84" s="9" t="inlineStr">
        <is>
          <t>PRO-GDE-001 §4 + TPL-GDE-001 (criterios)</t>
        </is>
      </c>
      <c r="P84" s="9" t="n"/>
      <c r="Q84" s="9" t="n"/>
      <c r="R84" s="9" t="inlineStr">
        <is>
          <t>Processo/template prontos; registros reais pendentes.</t>
        </is>
      </c>
    </row>
    <row r="85" ht="24" customHeight="1">
      <c r="A85" s="9" t="n">
        <v>84</v>
      </c>
      <c r="B85" s="9" t="inlineStr">
        <is>
          <t>Organizacional</t>
        </is>
      </c>
      <c r="C85" s="9" t="inlineStr">
        <is>
          <t>Gerencia de Decisoes</t>
        </is>
      </c>
      <c r="D85" s="9" t="inlineStr">
        <is>
          <t>GDE</t>
        </is>
      </c>
      <c r="E85" s="9" t="inlineStr">
        <is>
          <t>GDE 5 (a partir de F)</t>
        </is>
      </c>
      <c r="F85" s="15" t="inlineStr">
        <is>
          <t>F</t>
        </is>
      </c>
      <c r="G85" s="11" t="inlineStr">
        <is>
          <t>Nao</t>
        </is>
      </c>
      <c r="H85" s="9" t="inlineStr">
        <is>
          <t>Metodos de avaliacao das alternativas de solucao sao selecionados.</t>
        </is>
      </c>
      <c r="I85" s="9" t="inlineStr">
        <is>
          <t>Foi escolhido um metodo de avaliacao (ex: matriz ponderada, analise de trade-off)?</t>
        </is>
      </c>
      <c r="J85" s="9" t="inlineStr">
        <is>
          <t>Metodo de avaliacao registrado.</t>
        </is>
      </c>
      <c r="K85" s="9" t="inlineStr">
        <is>
          <t>1) Escolha o metodo de avaliacao. 2) Registre.</t>
        </is>
      </c>
      <c r="L85" s="9" t="inlineStr">
        <is>
          <t>Comparar alternativas sem metodo estruturado.</t>
        </is>
      </c>
      <c r="M85" s="9" t="inlineStr">
        <is>
          <t>Matriz ponderada, AHP, pugh matrix.</t>
        </is>
      </c>
      <c r="N85" s="45" t="inlineStr">
        <is>
          <t>P</t>
        </is>
      </c>
      <c r="O85" s="9" t="inlineStr">
        <is>
          <t>PRO-GDE-001 §4 + TPL-GDE-001 (metodo de avaliacao)</t>
        </is>
      </c>
      <c r="P85" s="9" t="n"/>
      <c r="Q85" s="9" t="n"/>
      <c r="R85" s="9" t="inlineStr">
        <is>
          <t>Processo/template prontos; registros reais pendentes.</t>
        </is>
      </c>
    </row>
    <row r="86" ht="36" customHeight="1">
      <c r="A86" s="9" t="n">
        <v>85</v>
      </c>
      <c r="B86" s="9" t="inlineStr">
        <is>
          <t>Organizacional</t>
        </is>
      </c>
      <c r="C86" s="9" t="inlineStr">
        <is>
          <t>Gerencia de Decisoes</t>
        </is>
      </c>
      <c r="D86" s="9" t="inlineStr">
        <is>
          <t>GDE</t>
        </is>
      </c>
      <c r="E86" s="9" t="inlineStr">
        <is>
          <t>GDE 6 (a partir de F)</t>
        </is>
      </c>
      <c r="F86" s="15" t="inlineStr">
        <is>
          <t>F</t>
        </is>
      </c>
      <c r="G86" s="11" t="inlineStr">
        <is>
          <t>Nao</t>
        </is>
      </c>
      <c r="H86" s="9" t="inlineStr">
        <is>
          <t>Solucoes alternativas sao avaliadas usando os criterios e metodos estabelecidos, e decisoes sao tomadas e registradas.</t>
        </is>
      </c>
      <c r="I86" s="9" t="inlineStr">
        <is>
          <t>As alternativas sao avaliadas pelos criterios/metodos e a decisao e registrada?</t>
        </is>
      </c>
      <c r="J86" s="9" t="inlineStr">
        <is>
          <t>Registro da avaliacao e da decisao final com justificativa.</t>
        </is>
      </c>
      <c r="K86" s="9" t="inlineStr">
        <is>
          <t>1) Aplique criterios e metodo. 2) Decida. 3) Registre decisao e justificativa.</t>
        </is>
      </c>
      <c r="L86" s="9" t="inlineStr">
        <is>
          <t>Decisao tomada mas nao registrada/justificada.</t>
        </is>
      </c>
      <c r="M86" s="9" t="inlineStr">
        <is>
          <t>ADR, ata de decisao.</t>
        </is>
      </c>
      <c r="N86" s="45" t="inlineStr">
        <is>
          <t>P</t>
        </is>
      </c>
      <c r="O86" s="9" t="inlineStr">
        <is>
          <t>PRO-GDE-001 §5 + TPL-GDE-001 (avaliacao e decisao registradas)</t>
        </is>
      </c>
      <c r="P86" s="9" t="n"/>
      <c r="Q86" s="9" t="n"/>
      <c r="R86" s="9" t="inlineStr">
        <is>
          <t>Processo/template prontos; decisoes reais registradas pendentes.</t>
        </is>
      </c>
    </row>
    <row r="87" ht="24" customHeight="1">
      <c r="A87" s="9" t="n">
        <v>86</v>
      </c>
      <c r="B87" s="9" t="inlineStr">
        <is>
          <t>Organizacional</t>
        </is>
      </c>
      <c r="C87" s="9" t="inlineStr">
        <is>
          <t>Capacitacao</t>
        </is>
      </c>
      <c r="D87" s="9" t="inlineStr">
        <is>
          <t>CAP</t>
        </is>
      </c>
      <c r="E87" s="9" t="inlineStr">
        <is>
          <t>CAP 1 (a partir de G)</t>
        </is>
      </c>
      <c r="F87" s="10" t="inlineStr">
        <is>
          <t>G</t>
        </is>
      </c>
      <c r="G87" s="11" t="inlineStr">
        <is>
          <t>Nao</t>
        </is>
      </c>
      <c r="H87" s="9" t="inlineStr">
        <is>
          <t>As necessidades de capacitacao sao identificadas.</t>
        </is>
      </c>
      <c r="I87" s="9" t="inlineStr">
        <is>
          <t>As necessidades de treinamento/capacitacao sao identificadas?</t>
        </is>
      </c>
      <c r="J87" s="9" t="inlineStr">
        <is>
          <t>Levantamento de necessidades de capacitacao.</t>
        </is>
      </c>
      <c r="K87" s="9" t="inlineStr">
        <is>
          <t>1) Levante lacunas de competencia da equipe. 2) Registre necessidades.</t>
        </is>
      </c>
      <c r="L87" s="9" t="inlineStr">
        <is>
          <t>Treinar sem saber a necessidade.</t>
        </is>
      </c>
      <c r="M87" s="9" t="inlineStr">
        <is>
          <t>Matriz de competencias, avaliacao de gaps.</t>
        </is>
      </c>
      <c r="N87" s="46" t="inlineStr">
        <is>
          <t>L</t>
        </is>
      </c>
      <c r="O87" s="9" t="inlineStr">
        <is>
          <t>PLA-CAP-001 §3 (identificacao de necessidades/lacunas)</t>
        </is>
      </c>
      <c r="P87" s="9" t="n"/>
      <c r="Q87" s="9" t="n"/>
      <c r="R87" s="9" t="inlineStr">
        <is>
          <t>Abordagem definida; levantamento formal de necessidades documentado parcialmente.</t>
        </is>
      </c>
    </row>
    <row r="88" ht="48" customHeight="1">
      <c r="A88" s="9" t="n">
        <v>87</v>
      </c>
      <c r="B88" s="9" t="inlineStr">
        <is>
          <t>Organizacional</t>
        </is>
      </c>
      <c r="C88" s="9" t="inlineStr">
        <is>
          <t>Capacitacao</t>
        </is>
      </c>
      <c r="D88" s="9" t="inlineStr">
        <is>
          <t>CAP</t>
        </is>
      </c>
      <c r="E88" s="9" t="inlineStr">
        <is>
          <t>CAP 1+ (a partir de E)</t>
        </is>
      </c>
      <c r="F88" s="17" t="inlineStr">
        <is>
          <t>E</t>
        </is>
      </c>
      <c r="G88" s="11" t="inlineStr">
        <is>
          <t>Nao</t>
        </is>
      </c>
      <c r="H88" s="9" t="inlineStr">
        <is>
          <t>As necessidades de capacitacao, do ponto de vista estrategico e de curto prazo, relacionadas aos processos e projetos/servicos sao identificadas e planos para seu atendimento sao definidos, seguidos e mantidos atualizados.</t>
        </is>
      </c>
      <c r="I88" s="9" t="inlineStr">
        <is>
          <t>Existe PLANO de capacitacao (estrategico e de curto prazo) ligado a processos e projetos, seguido e atualizado?</t>
        </is>
      </c>
      <c r="J88" s="9" t="inlineStr">
        <is>
          <t>Plano de capacitacao organizacional.</t>
        </is>
      </c>
      <c r="K88" s="9" t="inlineStr">
        <is>
          <t>1) Separe necessidades estrategicas e de curto prazo. 2) Monte plano de capacitacao. 3) Execute e atualize.</t>
        </is>
      </c>
      <c r="L88" s="9" t="inlineStr">
        <is>
          <t>Treinamentos avulsos sem plano.</t>
        </is>
      </c>
      <c r="M88" s="9" t="inlineStr">
        <is>
          <t>Plano de T&amp;D, LMS.</t>
        </is>
      </c>
      <c r="N88" s="47" t="inlineStr">
        <is>
          <t>T</t>
        </is>
      </c>
      <c r="O88" s="9" t="inlineStr">
        <is>
          <t>PLA-CAP-001 (Plano de Capacitacao organizacional)</t>
        </is>
      </c>
      <c r="P88" s="9" t="n"/>
      <c r="Q88" s="9" t="n"/>
      <c r="R88" s="9" t="inlineStr">
        <is>
          <t>Plano definido.</t>
        </is>
      </c>
    </row>
    <row r="89" ht="24" customHeight="1">
      <c r="A89" s="9" t="n">
        <v>88</v>
      </c>
      <c r="B89" s="9" t="inlineStr">
        <is>
          <t>Organizacional</t>
        </is>
      </c>
      <c r="C89" s="9" t="inlineStr">
        <is>
          <t>Capacitacao</t>
        </is>
      </c>
      <c r="D89" s="9" t="inlineStr">
        <is>
          <t>CAP</t>
        </is>
      </c>
      <c r="E89" s="9" t="inlineStr">
        <is>
          <t>CAP 2 (a partir de G)</t>
        </is>
      </c>
      <c r="F89" s="10" t="inlineStr">
        <is>
          <t>G</t>
        </is>
      </c>
      <c r="G89" s="11" t="inlineStr">
        <is>
          <t>Nao</t>
        </is>
      </c>
      <c r="H89" s="9" t="inlineStr">
        <is>
          <t>Os treinamentos identificados como necessarios para capacitacao dos colaboradores sao realizados e registrados.</t>
        </is>
      </c>
      <c r="I89" s="9" t="inlineStr">
        <is>
          <t>Os treinamentos sao realizados e ha registro (listas de presenca, certificados)?</t>
        </is>
      </c>
      <c r="J89" s="9" t="inlineStr">
        <is>
          <t>Registros de treinamentos realizados.</t>
        </is>
      </c>
      <c r="K89" s="9" t="inlineStr">
        <is>
          <t>1) Execute os treinamentos. 2) Registre presenca/conclusao.</t>
        </is>
      </c>
      <c r="L89" s="9" t="inlineStr">
        <is>
          <t>Treinar e nao registrar.</t>
        </is>
      </c>
      <c r="M89" s="9" t="inlineStr">
        <is>
          <t>LMS, registro de treinamento, certificados.</t>
        </is>
      </c>
      <c r="N89" s="45" t="inlineStr">
        <is>
          <t>P</t>
        </is>
      </c>
      <c r="O89" s="9" t="inlineStr">
        <is>
          <t>PLA-CAP-001 §4 + materiais TREINO-A..K</t>
        </is>
      </c>
      <c r="P89" s="9" t="n"/>
      <c r="Q89" s="9" t="n"/>
      <c r="R89" s="9" t="inlineStr">
        <is>
          <t>Material de treinamento por papel existe; registros de presenca/conclusao pendentes.</t>
        </is>
      </c>
    </row>
    <row r="90" ht="24" customHeight="1">
      <c r="A90" s="9" t="n">
        <v>89</v>
      </c>
      <c r="B90" s="9" t="inlineStr">
        <is>
          <t>Organizacional</t>
        </is>
      </c>
      <c r="C90" s="9" t="inlineStr">
        <is>
          <t>Capacitacao</t>
        </is>
      </c>
      <c r="D90" s="9" t="inlineStr">
        <is>
          <t>CAP</t>
        </is>
      </c>
      <c r="E90" s="9" t="inlineStr">
        <is>
          <t>CAP 3 (a partir de E)</t>
        </is>
      </c>
      <c r="F90" s="17" t="inlineStr">
        <is>
          <t>E</t>
        </is>
      </c>
      <c r="G90" s="11" t="inlineStr">
        <is>
          <t>Nao</t>
        </is>
      </c>
      <c r="H90" s="9" t="inlineStr">
        <is>
          <t>A efetividade do programa organizacional de treinamentos e avaliada e comunicada.</t>
        </is>
      </c>
      <c r="I90" s="9" t="inlineStr">
        <is>
          <t>A efetividade dos treinamentos e avaliada e comunicada?</t>
        </is>
      </c>
      <c r="J90" s="9" t="inlineStr">
        <is>
          <t>Avaliacao de efetividade de treinamentos.</t>
        </is>
      </c>
      <c r="K90" s="9" t="inlineStr">
        <is>
          <t>1) Avalie se o treinamento gerou resultado (avaliacao de aprendizado/aplicacao). 2) Comunique.</t>
        </is>
      </c>
      <c r="L90" s="9" t="inlineStr">
        <is>
          <t>Nunca medir se o treinamento adiantou.</t>
        </is>
      </c>
      <c r="M90" s="9" t="inlineStr">
        <is>
          <t>Avaliacao de reacao/aprendizado (Kirkpatrick), pesquisa.</t>
        </is>
      </c>
      <c r="N90" s="45" t="inlineStr">
        <is>
          <t>P</t>
        </is>
      </c>
      <c r="O90" s="9" t="inlineStr">
        <is>
          <t>PLA-CAP-001 §5 (avaliacao de efetividade)</t>
        </is>
      </c>
      <c r="P90" s="9" t="n"/>
      <c r="Q90" s="9" t="n"/>
      <c r="R90" s="9" t="inlineStr">
        <is>
          <t>Metodo definido; avaliacoes de efetividade efetivas pendentes.</t>
        </is>
      </c>
    </row>
    <row r="91" ht="48" customHeight="1">
      <c r="A91" s="9" t="n">
        <v>90</v>
      </c>
      <c r="B91" s="9" t="inlineStr">
        <is>
          <t>Organizacional</t>
        </is>
      </c>
      <c r="C91" s="9" t="inlineStr">
        <is>
          <t>Capacitacao</t>
        </is>
      </c>
      <c r="D91" s="9" t="inlineStr">
        <is>
          <t>CAP</t>
        </is>
      </c>
      <c r="E91" s="9" t="inlineStr">
        <is>
          <t>CAP 4 (a partir de E)</t>
        </is>
      </c>
      <c r="F91" s="17" t="inlineStr">
        <is>
          <t>E</t>
        </is>
      </c>
      <c r="G91" s="11" t="inlineStr">
        <is>
          <t>Nao</t>
        </is>
      </c>
      <c r="H91" s="9" t="inlineStr">
        <is>
          <t>A partir da analise dos registros e avaliacoes da efetividade dos treinamentos, as habilidades dos instrutores e os recursos para treinamento dos colaboradores sao desenvolvidos e mantidos atualizados.</t>
        </is>
      </c>
      <c r="I91" s="9" t="inlineStr">
        <is>
          <t>Os instrutores e recursos de treinamento sao desenvolvidos com base na avaliacao de efetividade?</t>
        </is>
      </c>
      <c r="J91" s="9" t="inlineStr">
        <is>
          <t>Registro de desenvolvimento de instrutores/recursos de treinamento.</t>
        </is>
      </c>
      <c r="K91" s="9" t="inlineStr">
        <is>
          <t>1) Use a avaliacao de efetividade para melhorar instrutores e materiais. 2) Mantenha recursos atualizados.</t>
        </is>
      </c>
      <c r="L91" s="9" t="inlineStr">
        <is>
          <t>Material de treinamento congelado e desatualizado.</t>
        </is>
      </c>
      <c r="M91" s="9" t="inlineStr">
        <is>
          <t>Biblioteca de treinamentos, capacitacao de instrutores.</t>
        </is>
      </c>
      <c r="N91" s="45" t="inlineStr">
        <is>
          <t>P</t>
        </is>
      </c>
      <c r="O91" s="9" t="inlineStr">
        <is>
          <t>PLA-CAP-001 §6 (instrutores e recursos)</t>
        </is>
      </c>
      <c r="P91" s="9" t="n"/>
      <c r="Q91" s="9" t="n"/>
      <c r="R91" s="9" t="inlineStr">
        <is>
          <t>Definido; registros de desenvolvimento de instrutores/recursos pendentes.</t>
        </is>
      </c>
    </row>
    <row r="92" ht="24" customHeight="1">
      <c r="A92" s="9" t="n">
        <v>91</v>
      </c>
      <c r="B92" s="9" t="inlineStr">
        <is>
          <t>Organizacional</t>
        </is>
      </c>
      <c r="C92" s="9" t="inlineStr">
        <is>
          <t>Gerencia de Processos</t>
        </is>
      </c>
      <c r="D92" s="9" t="inlineStr">
        <is>
          <t>GPC</t>
        </is>
      </c>
      <c r="E92" s="9" t="inlineStr">
        <is>
          <t>GPC 1 (a partir de F)</t>
        </is>
      </c>
      <c r="F92" s="15" t="inlineStr">
        <is>
          <t>F</t>
        </is>
      </c>
      <c r="G92" s="11" t="inlineStr">
        <is>
          <t>Nao</t>
        </is>
      </c>
      <c r="H92" s="9" t="inlineStr">
        <is>
          <t>Os ativos de processo necessarios para realizar o trabalho sao identificados.</t>
        </is>
      </c>
      <c r="I92" s="9" t="inlineStr">
        <is>
          <t>Os ativos de processo necessarios (templates, procedimentos) sao identificados?</t>
        </is>
      </c>
      <c r="J92" s="9" t="inlineStr">
        <is>
          <t>Lista de ativos de processo necessarios.</t>
        </is>
      </c>
      <c r="K92" s="9" t="inlineStr">
        <is>
          <t>1) Liste quais ativos o trabalho precisa (templates, checklists, procedimentos). 2) Registre.</t>
        </is>
      </c>
      <c r="L92" s="9" t="inlineStr">
        <is>
          <t>Nao saber quais ativos a organizacao precisa.</t>
        </is>
      </c>
      <c r="M92" s="9" t="inlineStr">
        <is>
          <t>Inventario de ativos de processo.</t>
        </is>
      </c>
      <c r="N92" s="47" t="inlineStr">
        <is>
          <t>T</t>
        </is>
      </c>
      <c r="O92" s="9" t="inlineStr">
        <is>
          <t>PLA-GPC-001 §2 (inventario de ativos necessarios) + MAPA-ORG-001</t>
        </is>
      </c>
      <c r="P92" s="9" t="n"/>
      <c r="Q92" s="9" t="n"/>
      <c r="R92" s="9" t="inlineStr">
        <is>
          <t>Ativos necessarios identificados.</t>
        </is>
      </c>
    </row>
    <row r="93" ht="36" customHeight="1">
      <c r="A93" s="9" t="n">
        <v>92</v>
      </c>
      <c r="B93" s="9" t="inlineStr">
        <is>
          <t>Organizacional</t>
        </is>
      </c>
      <c r="C93" s="9" t="inlineStr">
        <is>
          <t>Gerencia de Processos</t>
        </is>
      </c>
      <c r="D93" s="9" t="inlineStr">
        <is>
          <t>GPC</t>
        </is>
      </c>
      <c r="E93" s="9" t="inlineStr">
        <is>
          <t>GPC 2 (no nivel F)</t>
        </is>
      </c>
      <c r="F93" s="15" t="inlineStr">
        <is>
          <t>F</t>
        </is>
      </c>
      <c r="G93" s="11" t="inlineStr">
        <is>
          <t>Nao</t>
        </is>
      </c>
      <c r="H93" s="9" t="inlineStr">
        <is>
          <t>Os ativos de processo identificados como necessarios sao desenvolvidos, comprados ou reutilizados, mantidos atualizados e disponibilizados.</t>
        </is>
      </c>
      <c r="I93" s="9" t="inlineStr">
        <is>
          <t>Os ativos identificados foram criados/obtidos, atualizados e disponibilizados?</t>
        </is>
      </c>
      <c r="J93" s="9" t="inlineStr">
        <is>
          <t>Ativos de processo disponiveis (templates, procedimentos).</t>
        </is>
      </c>
      <c r="K93" s="9" t="inlineStr">
        <is>
          <t>1) Desenvolva/compre/reuse os ativos. 2) Disponibilize. 3) Mantenha.</t>
        </is>
      </c>
      <c r="L93" s="9" t="inlineStr">
        <is>
          <t>Identificar ativo necessario e nao produzir.</t>
        </is>
      </c>
      <c r="M93" s="9" t="inlineStr">
        <is>
          <t>Confluence, biblioteca de ativos.</t>
        </is>
      </c>
      <c r="N93" s="47" t="inlineStr">
        <is>
          <t>T</t>
        </is>
      </c>
      <c r="O93" s="9" t="inlineStr">
        <is>
          <t>Biblioteca de processos (12 processos + templates + capacidade) no git</t>
        </is>
      </c>
      <c r="P93" s="9" t="n"/>
      <c r="Q93" s="9" t="n"/>
      <c r="R93" s="9" t="inlineStr">
        <is>
          <t>Ativos identificados foram produzidos e estao disponiveis (publicacao no Confluence a confirmar).</t>
        </is>
      </c>
    </row>
    <row r="94" ht="96" customHeight="1">
      <c r="A94" s="9" t="n">
        <v>93</v>
      </c>
      <c r="B94" s="9" t="inlineStr">
        <is>
          <t>Organizacional</t>
        </is>
      </c>
      <c r="C94" s="9" t="inlineStr">
        <is>
          <t>Gerencia de Processos</t>
        </is>
      </c>
      <c r="D94" s="9" t="inlineStr">
        <is>
          <t>GPC</t>
        </is>
      </c>
      <c r="E94" s="9" t="inlineStr">
        <is>
          <t>GPC 2+ (a partir de E)</t>
        </is>
      </c>
      <c r="F94" s="17" t="inlineStr">
        <is>
          <t>E</t>
        </is>
      </c>
      <c r="G94" s="13" t="inlineStr">
        <is>
          <t>Sim</t>
        </is>
      </c>
      <c r="H94" s="9" t="inlineStr">
        <is>
          <t>Uma estrategia e definida... para estabelecer a arquitetura de processos, desenvolver/comprar/reutilizar e manter atualizados os ativos de processo PADRAO da organizacao, incluindo diretrizes para sua adaptacao, e disponibiliza-los em uma biblioteca de ativos. (Itens requeridos: descricao do processo deve incluir tarefas, entradas, saidas e conexoes; diretrizes devem expressar necessidades de adaptacao; ativos devem ter controle formal de versao e comunicacao.)</t>
        </is>
      </c>
      <c r="I94" s="9" t="inlineStr">
        <is>
          <t>Existe PROCESSO PADRAO organizacional com diretrizes de adaptacao, descricao completa (tarefas/entradas/saidas/conexoes) e biblioteca de ativos com controle de versao?</t>
        </is>
      </c>
      <c r="J94" s="9" t="inlineStr">
        <is>
          <t>Processo padrao organizacional + diretrizes de tailoring + biblioteca de ativos versionada.</t>
        </is>
      </c>
      <c r="K94" s="9" t="inlineStr">
        <is>
          <t>1) Defina a arquitetura de processos. 2) Descreva cada processo (tarefas, entradas, saidas, conexoes). 3) Crie diretrizes de adaptacao. 4) Monte biblioteca de ativos com versionamento e comunicacao de mudancas.</t>
        </is>
      </c>
      <c r="L94" s="9" t="inlineStr">
        <is>
          <t>Ter templates soltos sem processo padrao e sem diretrizes de adaptacao - este e o CORACAO do nivel E e da capacidade CP-E/D/C.</t>
        </is>
      </c>
      <c r="M94" s="9" t="inlineStr">
        <is>
          <t>Confluence (biblioteca de ativos), controle de versao de docs.</t>
        </is>
      </c>
      <c r="N94" s="47" t="inlineStr">
        <is>
          <t>T</t>
        </is>
      </c>
      <c r="O94" s="9" t="inlineStr">
        <is>
          <t>PRO-GPC-001 (processo-padrao) + GUIA-GPC-001 (diretrizes de adaptacao)</t>
        </is>
      </c>
      <c r="P94" s="9" t="n"/>
      <c r="Q94" s="9" t="n"/>
      <c r="R94" s="9" t="inlineStr">
        <is>
          <t>Processo-padrao e diretrizes de tailoring definidos (item REQUERIDO).</t>
        </is>
      </c>
    </row>
    <row r="95" ht="84" customHeight="1">
      <c r="A95" s="9" t="n">
        <v>94</v>
      </c>
      <c r="B95" s="9" t="inlineStr">
        <is>
          <t>Organizacional</t>
        </is>
      </c>
      <c r="C95" s="9" t="inlineStr">
        <is>
          <t>Gerencia de Processos</t>
        </is>
      </c>
      <c r="D95" s="9" t="inlineStr">
        <is>
          <t>GPC</t>
        </is>
      </c>
      <c r="E95" s="9" t="inlineStr">
        <is>
          <t>GPC 3 (a partir de F)</t>
        </is>
      </c>
      <c r="F95" s="15" t="inlineStr">
        <is>
          <t>F</t>
        </is>
      </c>
      <c r="G95" s="13" t="inlineStr">
        <is>
          <t>Sim</t>
        </is>
      </c>
      <c r="H95" s="9" t="inlineStr">
        <is>
          <t>Uma estrategia que inclua escopo e procedimentos de garantia da qualidade e o(s) plano(s) para garantia da qualidade sao desenvolvidos, executados e mantidos atualizados, com base em dados historicos de qualidade. (Item requerido: a estrategia deve definir como nao conformidades serao tratadas, encaminhadas e como acoes corretivas serao executadas e monitoradas.)</t>
        </is>
      </c>
      <c r="I95" s="9" t="inlineStr">
        <is>
          <t>Existe estrategia/plano de GARANTIA DA QUALIDADE definindo como tratar nao conformidades e acoes corretivas?</t>
        </is>
      </c>
      <c r="J95" s="9" t="inlineStr">
        <is>
          <t>Estrategia/plano de GQ com tratamento de nao conformidades.</t>
        </is>
      </c>
      <c r="K95" s="9" t="inlineStr">
        <is>
          <t>1) Defina escopo e procedimentos de GQ. 2) Defina como NCs sao tratadas/encaminhadas. 3) Execute e mantenha. 4) Use dados historicos.</t>
        </is>
      </c>
      <c r="L95" s="9" t="inlineStr">
        <is>
          <t>GQ sem processo de tratamento de nao conformidade - item requerido. (Lembre: GQ no 2024 esta aqui e na capacidade, nao e processo separado.)</t>
        </is>
      </c>
      <c r="M95" s="9" t="inlineStr">
        <is>
          <t>Plano de GQ, registro de NCs, auditorias.</t>
        </is>
      </c>
      <c r="N95" s="47" t="inlineStr">
        <is>
          <t>T</t>
        </is>
      </c>
      <c r="O95" s="9" t="inlineStr">
        <is>
          <t>EST-GPC-001 §5 (registro/tratamento de achados) e §6 (escalonamento)</t>
        </is>
      </c>
      <c r="P95" s="9" t="n"/>
      <c r="Q95" s="9" t="n"/>
      <c r="R95" s="9" t="inlineStr">
        <is>
          <t>Estrategia de GQ com tratamento de nao conformidade definida (item REQUERIDO).</t>
        </is>
      </c>
    </row>
    <row r="96" ht="24" customHeight="1">
      <c r="A96" s="9" t="n">
        <v>95</v>
      </c>
      <c r="B96" s="9" t="inlineStr">
        <is>
          <t>Organizacional</t>
        </is>
      </c>
      <c r="C96" s="9" t="inlineStr">
        <is>
          <t>Gerencia de Processos</t>
        </is>
      </c>
      <c r="D96" s="9" t="inlineStr">
        <is>
          <t>GPC</t>
        </is>
      </c>
      <c r="E96" s="9" t="inlineStr">
        <is>
          <t>GPC 4 (no nivel F)</t>
        </is>
      </c>
      <c r="F96" s="15" t="inlineStr">
        <is>
          <t>F</t>
        </is>
      </c>
      <c r="G96" s="11" t="inlineStr">
        <is>
          <t>Nao</t>
        </is>
      </c>
      <c r="H96" s="9" t="inlineStr">
        <is>
          <t>Oportunidades de melhoria dos processos sao identificadas.</t>
        </is>
      </c>
      <c r="I96" s="9" t="inlineStr">
        <is>
          <t>Oportunidades de melhoria de processo sao identificadas?</t>
        </is>
      </c>
      <c r="J96" s="9" t="inlineStr">
        <is>
          <t>Registro de oportunidades de melhoria.</t>
        </is>
      </c>
      <c r="K96" s="9" t="inlineStr">
        <is>
          <t>1) Crie canal de captura de melhorias. 2) Registre.</t>
        </is>
      </c>
      <c r="L96" s="9" t="inlineStr">
        <is>
          <t>Nenhum mecanismo de captura de melhoria.</t>
        </is>
      </c>
      <c r="M96" s="9" t="inlineStr">
        <is>
          <t>Backlog de melhorias, retrospectivas.</t>
        </is>
      </c>
      <c r="N96" s="45" t="inlineStr">
        <is>
          <t>P</t>
        </is>
      </c>
      <c r="O96" s="9" t="inlineStr">
        <is>
          <t>PLA-GPC-001 §5.1 (registro de oportunidades de melhoria)</t>
        </is>
      </c>
      <c r="P96" s="9" t="n"/>
      <c r="Q96" s="9" t="n"/>
      <c r="R96" s="9" t="inlineStr">
        <is>
          <t>Mecanismo definido; registros de melhoria/retrospectivas pendentes.</t>
        </is>
      </c>
    </row>
    <row r="97" ht="96" customHeight="1">
      <c r="A97" s="9" t="n">
        <v>96</v>
      </c>
      <c r="B97" s="9" t="inlineStr">
        <is>
          <t>Organizacional</t>
        </is>
      </c>
      <c r="C97" s="9" t="inlineStr">
        <is>
          <t>Gerencia de Processos</t>
        </is>
      </c>
      <c r="D97" s="9" t="inlineStr">
        <is>
          <t>GPC</t>
        </is>
      </c>
      <c r="E97" s="9" t="inlineStr">
        <is>
          <t>GPC 4+ (a partir de E)</t>
        </is>
      </c>
      <c r="F97" s="17" t="inlineStr">
        <is>
          <t>E</t>
        </is>
      </c>
      <c r="G97" s="13" t="inlineStr">
        <is>
          <t>Sim</t>
        </is>
      </c>
      <c r="H97" s="9" t="inlineStr">
        <is>
          <t>Oportunidades de melhoria derivadas dos objetivos de negocio, de avaliacoes da implementacao dos processos e da exploracao/avaliacao de novos processos/tecnicas/metodos/ferramentas sao identificadas e mantidas atualizadas. (Itens requeridos: avaliacoes devem identificar pontos fortes, fracos e oportunidade de melhoria; analise deve considerar melhorias de nao conformidades e causas.)</t>
        </is>
      </c>
      <c r="I97" s="9" t="inlineStr">
        <is>
          <t>As melhorias derivam de avaliacoes dos processos (com pontos fortes/fracos) e de analise de nao conformidades?</t>
        </is>
      </c>
      <c r="J97" s="9" t="inlineStr">
        <is>
          <t>Avaliacoes de processo identificando pontos fortes/fracos/melhorias.</t>
        </is>
      </c>
      <c r="K97" s="9" t="inlineStr">
        <is>
          <t>1) Avalie periodicamente a implementacao dos processos. 2) Identifique pontos fortes, fracos e melhorias. 3) Considere NCs e causas. 4) Mantenha atualizado.</t>
        </is>
      </c>
      <c r="L97" s="9" t="inlineStr">
        <is>
          <t>Melhoria sem base em avaliacao estruturada.</t>
        </is>
      </c>
      <c r="M97" s="9" t="inlineStr">
        <is>
          <t>Avaliacao de processos, analise de causa.</t>
        </is>
      </c>
      <c r="N97" s="45" t="inlineStr">
        <is>
          <t>P</t>
        </is>
      </c>
      <c r="O97" s="9" t="inlineStr">
        <is>
          <t>PLA-GPC-001 §5-6 (melhorias derivadas de avaliacoes de processo)</t>
        </is>
      </c>
      <c r="P97" s="9" t="n"/>
      <c r="Q97" s="9" t="n"/>
      <c r="R97" s="9" t="inlineStr">
        <is>
          <t>Mecanismo definido; avaliacoes de processo (GQA) ainda nao executadas (item REQUERIDO).</t>
        </is>
      </c>
    </row>
    <row r="98" ht="24" customHeight="1">
      <c r="A98" s="9" t="n">
        <v>97</v>
      </c>
      <c r="B98" s="9" t="inlineStr">
        <is>
          <t>Organizacional</t>
        </is>
      </c>
      <c r="C98" s="9" t="inlineStr">
        <is>
          <t>Gerencia de Processos</t>
        </is>
      </c>
      <c r="D98" s="9" t="inlineStr">
        <is>
          <t>GPC</t>
        </is>
      </c>
      <c r="E98" s="9" t="inlineStr">
        <is>
          <t>GPC 5 (no nivel F)</t>
        </is>
      </c>
      <c r="F98" s="15" t="inlineStr">
        <is>
          <t>F</t>
        </is>
      </c>
      <c r="G98" s="11" t="inlineStr">
        <is>
          <t>Nao</t>
        </is>
      </c>
      <c r="H98" s="9" t="inlineStr">
        <is>
          <t>Um plano para implementacao de melhorias e definido, executado e mantido atualizado.</t>
        </is>
      </c>
      <c r="I98" s="9" t="inlineStr">
        <is>
          <t>Existe plano de implementacao de melhorias, executado e atualizado?</t>
        </is>
      </c>
      <c r="J98" s="9" t="inlineStr">
        <is>
          <t>Plano de melhorias de processo.</t>
        </is>
      </c>
      <c r="K98" s="9" t="inlineStr">
        <is>
          <t>1) Priorize melhorias. 2) Monte plano. 3) Execute e atualize.</t>
        </is>
      </c>
      <c r="L98" s="9" t="inlineStr">
        <is>
          <t>Melhorias identificadas mas nunca implementadas.</t>
        </is>
      </c>
      <c r="M98" s="9" t="inlineStr">
        <is>
          <t>Plano de melhoria, kanban de melhorias.</t>
        </is>
      </c>
      <c r="N98" s="45" t="inlineStr">
        <is>
          <t>P</t>
        </is>
      </c>
      <c r="O98" s="9" t="inlineStr">
        <is>
          <t>PLA-GPC-001 §5 (plano de implementacao de melhorias)</t>
        </is>
      </c>
      <c r="P98" s="9" t="n"/>
      <c r="Q98" s="9" t="n"/>
      <c r="R98" s="9" t="inlineStr">
        <is>
          <t>Plano definido; execucao/registros pendentes.</t>
        </is>
      </c>
    </row>
    <row r="99" ht="60" customHeight="1">
      <c r="A99" s="9" t="n">
        <v>98</v>
      </c>
      <c r="B99" s="9" t="inlineStr">
        <is>
          <t>Organizacional</t>
        </is>
      </c>
      <c r="C99" s="9" t="inlineStr">
        <is>
          <t>Gerencia de Processos</t>
        </is>
      </c>
      <c r="D99" s="9" t="inlineStr">
        <is>
          <t>GPC</t>
        </is>
      </c>
      <c r="E99" s="9" t="inlineStr">
        <is>
          <t>GPC 5+ (a partir de E)</t>
        </is>
      </c>
      <c r="F99" s="17" t="inlineStr">
        <is>
          <t>E</t>
        </is>
      </c>
      <c r="G99" s="13" t="inlineStr">
        <is>
          <t>Sim</t>
        </is>
      </c>
      <c r="H99" s="9" t="inlineStr">
        <is>
          <t>Um plano para implementacao de melhorias, com base na importancia dos processos para o alcance dos objetivos de negocio, e definido, executado e mantido atualizado. (Item requerido: os processos que mais contribuem para os objetivos de negocio devem estar explicitamente definidos.)</t>
        </is>
      </c>
      <c r="I99" s="9" t="inlineStr">
        <is>
          <t>O plano de melhorias prioriza os processos MAIS IMPORTANTES para o negocio (explicitamente definidos)?</t>
        </is>
      </c>
      <c r="J99" s="9" t="inlineStr">
        <is>
          <t>Plano de melhorias priorizado por importancia para o negocio.</t>
        </is>
      </c>
      <c r="K99" s="9" t="inlineStr">
        <is>
          <t>1) Defina explicitamente os processos criticos para o negocio. 2) Priorize melhorias neles. 3) Execute.</t>
        </is>
      </c>
      <c r="L99" s="9" t="inlineStr">
        <is>
          <t>Tratar todos os processos com a mesma prioridade.</t>
        </is>
      </c>
      <c r="M99" s="9" t="inlineStr">
        <is>
          <t>Matriz de priorizacao, plano de melhoria.</t>
        </is>
      </c>
      <c r="N99" s="45" t="inlineStr">
        <is>
          <t>P</t>
        </is>
      </c>
      <c r="O99" s="9" t="inlineStr">
        <is>
          <t>PLA-GPC-001 §5 (priorizacao por importancia para o negocio)</t>
        </is>
      </c>
      <c r="P99" s="9" t="n"/>
      <c r="Q99" s="9" t="n"/>
      <c r="R99" s="9" t="inlineStr">
        <is>
          <t>Definido; priorizacao com base em avaliacao real pendente (item REQUERIDO).</t>
        </is>
      </c>
    </row>
    <row r="100" ht="60" customHeight="1">
      <c r="A100" s="9" t="n">
        <v>99</v>
      </c>
      <c r="B100" s="9" t="inlineStr">
        <is>
          <t>Organizacional</t>
        </is>
      </c>
      <c r="C100" s="9" t="inlineStr">
        <is>
          <t>Gerencia de Processos</t>
        </is>
      </c>
      <c r="D100" s="9" t="inlineStr">
        <is>
          <t>GPC</t>
        </is>
      </c>
      <c r="E100" s="9" t="inlineStr">
        <is>
          <t>GPC 6 (a partir de E)</t>
        </is>
      </c>
      <c r="F100" s="17" t="inlineStr">
        <is>
          <t>E</t>
        </is>
      </c>
      <c r="G100" s="11" t="inlineStr">
        <is>
          <t>Nao</t>
        </is>
      </c>
      <c r="H100" s="9" t="inlineStr">
        <is>
          <t>Uma estrutura de apoio para fornecer orientacao no uso dos processos, identificar e corrigir problemas, promover a melhoria continua e a implementacao/implantacao/sustentacao das melhorias e estabelecida.</t>
        </is>
      </c>
      <c r="I100" s="9" t="inlineStr">
        <is>
          <t>Existe uma estrutura/equipe de apoio aos processos (tipo SEPG/EPG)?</t>
        </is>
      </c>
      <c r="J100" s="9" t="inlineStr">
        <is>
          <t>Estrutura de apoio a processos definida (papeis, responsaveis).</t>
        </is>
      </c>
      <c r="K100" s="9" t="inlineStr">
        <is>
          <t>1) Crie um grupo responsavel pelos processos (SEPG). 2) Defina suas atribuicoes. 3) Opere.</t>
        </is>
      </c>
      <c r="L100" s="9" t="inlineStr">
        <is>
          <t>Ninguem 'dono' dos processos na organizacao.</t>
        </is>
      </c>
      <c r="M100" s="9" t="inlineStr">
        <is>
          <t>SEPG/EPG, papeis definidos.</t>
        </is>
      </c>
      <c r="N100" s="47" t="inlineStr">
        <is>
          <t>T</t>
        </is>
      </c>
      <c r="O100" s="9" t="inlineStr">
        <is>
          <t>PRO-GPC-002 (Time de Melhoria Continua / estrutura de apoio)</t>
        </is>
      </c>
      <c r="P100" s="9" t="n"/>
      <c r="Q100" s="9" t="n"/>
      <c r="R100" s="9" t="inlineStr">
        <is>
          <t>Estrutura de apoio definida.</t>
        </is>
      </c>
    </row>
    <row r="101" ht="36" customHeight="1">
      <c r="A101" s="9" t="n">
        <v>100</v>
      </c>
      <c r="B101" s="9" t="inlineStr">
        <is>
          <t>Organizacional</t>
        </is>
      </c>
      <c r="C101" s="9" t="inlineStr">
        <is>
          <t>Gerencia de Processos</t>
        </is>
      </c>
      <c r="D101" s="9" t="inlineStr">
        <is>
          <t>GPC</t>
        </is>
      </c>
      <c r="E101" s="9" t="inlineStr">
        <is>
          <t>GPC 7 (a partir de E)</t>
        </is>
      </c>
      <c r="F101" s="17" t="inlineStr">
        <is>
          <t>E</t>
        </is>
      </c>
      <c r="G101" s="11" t="inlineStr">
        <is>
          <t>Nao</t>
        </is>
      </c>
      <c r="H101" s="9" t="inlineStr">
        <is>
          <t>Estrategias para a gerencia de riscos e oportunidades, contendo parametros, categorias e atividades relacionadas, sao estabelecidas, executadas e mantidas atualizadas.</t>
        </is>
      </c>
      <c r="I101" s="9" t="inlineStr">
        <is>
          <t>Existe ESTRATEGIA ORGANIZACIONAL de riscos (parametros, categorias)? (Base para GPR 10+ e OSW 5+.)</t>
        </is>
      </c>
      <c r="J101" s="9" t="inlineStr">
        <is>
          <t>Estrategia organizacional de gerencia de riscos.</t>
        </is>
      </c>
      <c r="K101" s="9" t="inlineStr">
        <is>
          <t>1) Defina categorias de risco, parametros (escalas de impacto/probabilidade) e atividades. 2) Documente. 3) Use nos projetos.</t>
        </is>
      </c>
      <c r="L101" s="9" t="inlineStr">
        <is>
          <t>Cada projeto trata risco do seu jeito sem estrategia comum.</t>
        </is>
      </c>
      <c r="M101" s="9" t="inlineStr">
        <is>
          <t>Politica/estrategia de riscos, matriz padronizada.</t>
        </is>
      </c>
      <c r="N101" s="47" t="inlineStr">
        <is>
          <t>T</t>
        </is>
      </c>
      <c r="O101" s="9" t="inlineStr">
        <is>
          <t>EST-GPC-002 (estrategia organizacional de riscos e oportunidades)</t>
        </is>
      </c>
      <c r="P101" s="9" t="n"/>
      <c r="Q101" s="9" t="n"/>
      <c r="R101" s="9" t="inlineStr">
        <is>
          <t>Estrategia definida.</t>
        </is>
      </c>
    </row>
    <row r="102" ht="24" customHeight="1">
      <c r="A102" s="9" t="n">
        <v>101</v>
      </c>
      <c r="B102" s="9" t="inlineStr">
        <is>
          <t>Organizacional</t>
        </is>
      </c>
      <c r="C102" s="9" t="inlineStr">
        <is>
          <t>Gerencia de Processos</t>
        </is>
      </c>
      <c r="D102" s="9" t="inlineStr">
        <is>
          <t>GPC</t>
        </is>
      </c>
      <c r="E102" s="9" t="inlineStr">
        <is>
          <t>GPC 8 (a partir de E)</t>
        </is>
      </c>
      <c r="F102" s="17" t="inlineStr">
        <is>
          <t>E</t>
        </is>
      </c>
      <c r="G102" s="11" t="inlineStr">
        <is>
          <t>Nao</t>
        </is>
      </c>
      <c r="H102" s="9" t="inlineStr">
        <is>
          <t>Os ambientes padrao de trabalho da organizacao sao estabelecidos, mantidos atualizados e disponibilizados.</t>
        </is>
      </c>
      <c r="I102" s="9" t="inlineStr">
        <is>
          <t>Existem AMBIENTES PADRAO de trabalho organizacionais? (Base para GPR 7+.)</t>
        </is>
      </c>
      <c r="J102" s="9" t="inlineStr">
        <is>
          <t>Ambientes padrao documentados/provisionados.</t>
        </is>
      </c>
      <c r="K102" s="9" t="inlineStr">
        <is>
          <t>1) Padronize ambientes (dev/teste/prod), ferramentas e configuracoes. 2) Disponibilize. 3) Mantenha.</t>
        </is>
      </c>
      <c r="L102" s="9" t="inlineStr">
        <is>
          <t>Cada projeto monta ambiente do zero.</t>
        </is>
      </c>
      <c r="M102" s="9" t="inlineStr">
        <is>
          <t>IaC, imagens padrao, catalogo de ambientes.</t>
        </is>
      </c>
      <c r="N102" s="46" t="inlineStr">
        <is>
          <t>L</t>
        </is>
      </c>
      <c r="O102" s="9" t="inlineStr">
        <is>
          <t>PLA-GPC-001 §3 (ambientes-padrao de trabalho)</t>
        </is>
      </c>
      <c r="P102" s="9" t="n"/>
      <c r="Q102" s="9" t="n"/>
      <c r="R102" s="9" t="inlineStr">
        <is>
          <t>Ambientes-padrao documentados; provisionamento/IaC como evidencia parcial.</t>
        </is>
      </c>
    </row>
    <row r="103" ht="36" customHeight="1">
      <c r="A103" s="9" t="n">
        <v>102</v>
      </c>
      <c r="B103" s="9" t="inlineStr">
        <is>
          <t>Organizacional</t>
        </is>
      </c>
      <c r="C103" s="9" t="inlineStr">
        <is>
          <t>Gerencia de Processos</t>
        </is>
      </c>
      <c r="D103" s="9" t="inlineStr">
        <is>
          <t>GPC</t>
        </is>
      </c>
      <c r="E103" s="9" t="inlineStr">
        <is>
          <t>GPC 9 (a partir de E)</t>
        </is>
      </c>
      <c r="F103" s="17" t="inlineStr">
        <is>
          <t>E</t>
        </is>
      </c>
      <c r="G103" s="11" t="inlineStr">
        <is>
          <t>Nao</t>
        </is>
      </c>
      <c r="H103" s="9" t="inlineStr">
        <is>
          <t>Um repositorio organizacional de medidas e procedimentos para garantia da qualidade de medidas sao definidos e mantidos atualizados.</t>
        </is>
      </c>
      <c r="I103" s="9" t="inlineStr">
        <is>
          <t>Existe REPOSITORIO ORGANIZACIONAL DE MEDIDAS com procedimentos de qualidade? (Base para GPR 4+, MED 4+.)</t>
        </is>
      </c>
      <c r="J103" s="9" t="inlineStr">
        <is>
          <t>Repositorio organizacional de medidas + procedimentos de GQ de medidas.</t>
        </is>
      </c>
      <c r="K103" s="9" t="inlineStr">
        <is>
          <t>1) Crie repositorio central de medidas de todos os projetos. 2) Defina procedimentos de qualidade. 3) Mantenha.</t>
        </is>
      </c>
      <c r="L103" s="9" t="inlineStr">
        <is>
          <t>Medidas dispersas por projeto sem consolidacao.</t>
        </is>
      </c>
      <c r="M103" s="9" t="inlineStr">
        <is>
          <t>BD de medidas, Power BI, planilha consolidada.</t>
        </is>
      </c>
      <c r="N103" s="45" t="inlineStr">
        <is>
          <t>P</t>
        </is>
      </c>
      <c r="O103" s="9" t="inlineStr">
        <is>
          <t>PLA-MED-001 §4 e §8 (repositorio + procedimentos de GQ de medidas)</t>
        </is>
      </c>
      <c r="P103" s="9" t="n"/>
      <c r="Q103" s="9" t="n"/>
      <c r="R103" s="9" t="inlineStr">
        <is>
          <t>Definido (Jira como repositorio); consolidacao organizacional de medidas pendente (ver MED 4+).</t>
        </is>
      </c>
    </row>
    <row r="104" ht="36" customHeight="1">
      <c r="A104" s="9" t="n">
        <v>103</v>
      </c>
      <c r="B104" s="9" t="inlineStr">
        <is>
          <t>Organizacional</t>
        </is>
      </c>
      <c r="C104" s="9" t="inlineStr">
        <is>
          <t>Gerencia de Processos</t>
        </is>
      </c>
      <c r="D104" s="9" t="inlineStr">
        <is>
          <t>GPC</t>
        </is>
      </c>
      <c r="E104" s="9" t="inlineStr">
        <is>
          <t>GPC 10 (a partir de E)</t>
        </is>
      </c>
      <c r="F104" s="17" t="inlineStr">
        <is>
          <t>E</t>
        </is>
      </c>
      <c r="G104" s="11" t="inlineStr">
        <is>
          <t>Nao</t>
        </is>
      </c>
      <c r="H104" s="9" t="inlineStr">
        <is>
          <t>Processos padrao e ativos de processos organizacionais sao implantados na organizacao.</t>
        </is>
      </c>
      <c r="I104" s="9" t="inlineStr">
        <is>
          <t>O processo padrao e os ativos estao IMPLANTADOS (em uso real) na organizacao?</t>
        </is>
      </c>
      <c r="J104" s="9" t="inlineStr">
        <is>
          <t>Evidencia de uso dos processos padrao nos projetos.</t>
        </is>
      </c>
      <c r="K104" s="9" t="inlineStr">
        <is>
          <t>1) Implante o processo padrao nos projetos. 2) Garanta adocao real. 3) Acompanhe.</t>
        </is>
      </c>
      <c r="L104" s="9" t="inlineStr">
        <is>
          <t>Processo padrao existe no papel mas ninguem usa - falha de capacidade CP-E/D/C.</t>
        </is>
      </c>
      <c r="M104" s="9" t="inlineStr">
        <is>
          <t>Auditorias de aderencia, projetos-piloto.</t>
        </is>
      </c>
      <c r="N104" s="49" t="inlineStr">
        <is>
          <t>N</t>
        </is>
      </c>
      <c r="O104" s="9" t="inlineStr">
        <is>
          <t>PLA-GPC-001 §4 (implantacao dos processos-padrao)</t>
        </is>
      </c>
      <c r="P104" s="9" t="n"/>
      <c r="Q104" s="9" t="n"/>
      <c r="R104" s="9" t="inlineStr">
        <is>
          <t>Sem evidencia de USO dos processos-padrao nos projetos (4 projetos da amostra nao selecionados). Gargalo de institucionalizacao.</t>
        </is>
      </c>
    </row>
    <row r="105" ht="24" customHeight="1">
      <c r="A105" s="9" t="n">
        <v>104</v>
      </c>
      <c r="B105" s="9" t="inlineStr">
        <is>
          <t>Organizacional</t>
        </is>
      </c>
      <c r="C105" s="9" t="inlineStr">
        <is>
          <t>Gerencia de Processos</t>
        </is>
      </c>
      <c r="D105" s="9" t="inlineStr">
        <is>
          <t>GPC</t>
        </is>
      </c>
      <c r="E105" s="9" t="inlineStr">
        <is>
          <t>GPC 11 (a partir de E)</t>
        </is>
      </c>
      <c r="F105" s="17" t="inlineStr">
        <is>
          <t>E</t>
        </is>
      </c>
      <c r="G105" s="11" t="inlineStr">
        <is>
          <t>Nao</t>
        </is>
      </c>
      <c r="H105" s="9" t="inlineStr">
        <is>
          <t>A efetividade das melhorias implantadas e avaliada com base nos objetivos de melhoria e relatada.</t>
        </is>
      </c>
      <c r="I105" s="9" t="inlineStr">
        <is>
          <t>A efetividade das melhorias implantadas e avaliada contra objetivos e relatada?</t>
        </is>
      </c>
      <c r="J105" s="9" t="inlineStr">
        <is>
          <t>Relatorio de efetividade de melhorias.</t>
        </is>
      </c>
      <c r="K105" s="9" t="inlineStr">
        <is>
          <t>1) Defina objetivos de melhoria. 2) Apos implantar, avalie se atingiu. 3) Relate.</t>
        </is>
      </c>
      <c r="L105" s="9" t="inlineStr">
        <is>
          <t>Implantar melhoria e nunca verificar se funcionou.</t>
        </is>
      </c>
      <c r="M105" s="9" t="inlineStr">
        <is>
          <t>Relatorio de melhoria, indicadores antes/depois.</t>
        </is>
      </c>
      <c r="N105" s="45" t="inlineStr">
        <is>
          <t>P</t>
        </is>
      </c>
      <c r="O105" s="9" t="inlineStr">
        <is>
          <t>PLA-GPC-001 §6 (avaliacao de efetividade das melhorias)</t>
        </is>
      </c>
      <c r="P105" s="9" t="n"/>
      <c r="Q105" s="9" t="n"/>
      <c r="R105" s="9" t="inlineStr">
        <is>
          <t>Metodo definido; nenhuma melhoria implantada/avaliada ainda.</t>
        </is>
      </c>
    </row>
    <row r="106" ht="48" customHeight="1">
      <c r="A106" s="9" t="n">
        <v>105</v>
      </c>
      <c r="B106" s="9" t="inlineStr">
        <is>
          <t>Organizacional</t>
        </is>
      </c>
      <c r="C106" s="9" t="inlineStr">
        <is>
          <t>Gerencia Organizacional de Software</t>
        </is>
      </c>
      <c r="D106" s="9" t="inlineStr">
        <is>
          <t>OSW</t>
        </is>
      </c>
      <c r="E106" s="9" t="inlineStr">
        <is>
          <t>OSW 1 (a partir de F)</t>
        </is>
      </c>
      <c r="F106" s="15" t="inlineStr">
        <is>
          <t>F</t>
        </is>
      </c>
      <c r="G106" s="11" t="inlineStr">
        <is>
          <t>Nao</t>
        </is>
      </c>
      <c r="H106" s="9" t="inlineStr">
        <is>
          <t>Diretrizes para definicao e melhoria do desempenho de processos sao definidas, mantidas atualizadas e comunicadas pela gerencia da organizacao, a partir das necessidades e objetivos da organizacao.</t>
        </is>
      </c>
      <c r="I106" s="9" t="inlineStr">
        <is>
          <t>A alta gerencia definiu e comunicou diretrizes (politica) para os processos?</t>
        </is>
      </c>
      <c r="J106" s="9" t="inlineStr">
        <is>
          <t>Politica/diretrizes organizacionais de processos, comunicadas.</t>
        </is>
      </c>
      <c r="K106" s="9" t="inlineStr">
        <is>
          <t>1) Alta gerencia define diretrizes de processo. 2) Comunica a organizacao. 3) Mantem.</t>
        </is>
      </c>
      <c r="L106" s="9" t="inlineStr">
        <is>
          <t>Iniciativa de processo sem patrocinio/diretriz da alta gerencia.</t>
        </is>
      </c>
      <c r="M106" s="9" t="inlineStr">
        <is>
          <t>Politica de qualidade, comunicado da direcao.</t>
        </is>
      </c>
      <c r="N106" s="47" t="inlineStr">
        <is>
          <t>T</t>
        </is>
      </c>
      <c r="O106" s="9" t="inlineStr">
        <is>
          <t>POL-ORG-001 (Politica Organizacional de Processos, patrocinio do CEO)</t>
        </is>
      </c>
      <c r="P106" s="9" t="n"/>
      <c r="Q106" s="9" t="n"/>
      <c r="R106" s="9" t="inlineStr">
        <is>
          <t>Diretrizes da alta gerencia definidas e comunicadas.</t>
        </is>
      </c>
    </row>
    <row r="107" ht="36" customHeight="1">
      <c r="A107" s="9" t="n">
        <v>106</v>
      </c>
      <c r="B107" s="9" t="inlineStr">
        <is>
          <t>Organizacional</t>
        </is>
      </c>
      <c r="C107" s="9" t="inlineStr">
        <is>
          <t>Gerencia Organizacional de Software</t>
        </is>
      </c>
      <c r="D107" s="9" t="inlineStr">
        <is>
          <t>OSW</t>
        </is>
      </c>
      <c r="E107" s="9" t="inlineStr">
        <is>
          <t>OSW 2 (a partir de F)</t>
        </is>
      </c>
      <c r="F107" s="15" t="inlineStr">
        <is>
          <t>F</t>
        </is>
      </c>
      <c r="G107" s="11" t="inlineStr">
        <is>
          <t>Nao</t>
        </is>
      </c>
      <c r="H107" s="9" t="inlineStr">
        <is>
          <t>Recursos e treinamento para definicao, apoio, execucao, avaliacao da aderencia e melhoria dos processos sao garantidos pela gerencia da organizacao.</t>
        </is>
      </c>
      <c r="I107" s="9" t="inlineStr">
        <is>
          <t>A gerencia garante recursos (humanos, materiais, financeiros) e treinamento para os processos?</t>
        </is>
      </c>
      <c r="J107" s="9" t="inlineStr">
        <is>
          <t>Registro de alocacao de recursos/orcamento para processos.</t>
        </is>
      </c>
      <c r="K107" s="9" t="inlineStr">
        <is>
          <t>1) Aloque pessoas, verba e treinamento para a iniciativa de processo. 2) Registre o compromisso.</t>
        </is>
      </c>
      <c r="L107" s="9" t="inlineStr">
        <is>
          <t>Cobrar processo sem dar recurso.</t>
        </is>
      </c>
      <c r="M107" s="9" t="inlineStr">
        <is>
          <t>Orcamento de qualidade, plano de recursos.</t>
        </is>
      </c>
      <c r="N107" s="45" t="inlineStr">
        <is>
          <t>P</t>
        </is>
      </c>
      <c r="O107" s="9" t="inlineStr">
        <is>
          <t>PRO-OSW-001 §3 (garantia de recursos e treinamento)</t>
        </is>
      </c>
      <c r="P107" s="9" t="n"/>
      <c r="Q107" s="9" t="n"/>
      <c r="R107" s="9" t="inlineStr">
        <is>
          <t>Definicao pronta; registro de alocacao de recursos/orcamento pendente.</t>
        </is>
      </c>
    </row>
    <row r="108" ht="36" customHeight="1">
      <c r="A108" s="9" t="n">
        <v>107</v>
      </c>
      <c r="B108" s="9" t="inlineStr">
        <is>
          <t>Organizacional</t>
        </is>
      </c>
      <c r="C108" s="9" t="inlineStr">
        <is>
          <t>Gerencia Organizacional de Software</t>
        </is>
      </c>
      <c r="D108" s="9" t="inlineStr">
        <is>
          <t>OSW</t>
        </is>
      </c>
      <c r="E108" s="9" t="inlineStr">
        <is>
          <t>OSW 3 (a partir de F)</t>
        </is>
      </c>
      <c r="F108" s="15" t="inlineStr">
        <is>
          <t>F</t>
        </is>
      </c>
      <c r="G108" s="11" t="inlineStr">
        <is>
          <t>Nao</t>
        </is>
      </c>
      <c r="H108" s="9" t="inlineStr">
        <is>
          <t>As informacoes necessarias para garantir a gerencia da organizacao visibilidade e governanca sobre a efetividade e desempenho dos processos sao identificadas e utilizadas.</t>
        </is>
      </c>
      <c r="I108" s="9" t="inlineStr">
        <is>
          <t>A gerencia recebe e usa informacoes sobre desempenho/efetividade dos processos?</t>
        </is>
      </c>
      <c r="J108" s="9" t="inlineStr">
        <is>
          <t>Relatorios gerenciais de desempenho de processo usados pela direcao.</t>
        </is>
      </c>
      <c r="K108" s="9" t="inlineStr">
        <is>
          <t>1) Defina que informacoes a gerencia precisa. 2) Forneca periodicamente. 3) Use em decisoes.</t>
        </is>
      </c>
      <c r="L108" s="9" t="inlineStr">
        <is>
          <t>Gerencia sem visibilidade do desempenho dos processos.</t>
        </is>
      </c>
      <c r="M108" s="9" t="inlineStr">
        <is>
          <t>Dashboard executivo, reuniao de analise critica.</t>
        </is>
      </c>
      <c r="N108" s="45" t="inlineStr">
        <is>
          <t>P</t>
        </is>
      </c>
      <c r="O108" s="9" t="inlineStr">
        <is>
          <t>PRO-OSW-001 §6-7 (informacoes de governanca / analise critica)</t>
        </is>
      </c>
      <c r="P108" s="9" t="n"/>
      <c r="Q108" s="9" t="n"/>
      <c r="R108" s="9" t="inlineStr">
        <is>
          <t>Definicao pronta; relatorios gerenciais efetivos usados pela direcao pendentes.</t>
        </is>
      </c>
    </row>
    <row r="109" ht="48" customHeight="1">
      <c r="A109" s="9" t="n">
        <v>108</v>
      </c>
      <c r="B109" s="9" t="inlineStr">
        <is>
          <t>Organizacional</t>
        </is>
      </c>
      <c r="C109" s="9" t="inlineStr">
        <is>
          <t>Gerencia Organizacional de Software</t>
        </is>
      </c>
      <c r="D109" s="9" t="inlineStr">
        <is>
          <t>OSW</t>
        </is>
      </c>
      <c r="E109" s="9" t="inlineStr">
        <is>
          <t>OSW 4 (no nivel F)</t>
        </is>
      </c>
      <c r="F109" s="15" t="inlineStr">
        <is>
          <t>F</t>
        </is>
      </c>
      <c r="G109" s="11" t="inlineStr">
        <is>
          <t>Nao</t>
        </is>
      </c>
      <c r="H109" s="9" t="inlineStr">
        <is>
          <t>A atribuicao de autoridade e o alinhamento dos colaboradores as diretrizes organizacionais, aos objetivos de implementacao dos processos e a melhoria de desempenho sao assegurados pela gerencia da organizacao.</t>
        </is>
      </c>
      <c r="I109" s="9" t="inlineStr">
        <is>
          <t>A gerencia assegura autoridade e alinhamento dos colaboradores aos processos e objetivos?</t>
        </is>
      </c>
      <c r="J109" s="9" t="inlineStr">
        <is>
          <t>Definicao de autoridade/papeis + comunicacao de alinhamento.</t>
        </is>
      </c>
      <c r="K109" s="9" t="inlineStr">
        <is>
          <t>1) Atribua autoridade clara. 2) Alinhe colaboradores as diretrizes. 3) Registre.</t>
        </is>
      </c>
      <c r="L109" s="9" t="inlineStr">
        <is>
          <t>Papeis sem autoridade real para fazer o processo acontecer.</t>
        </is>
      </c>
      <c r="M109" s="9" t="inlineStr">
        <is>
          <t>Organograma, RACI, descricoes de papel.</t>
        </is>
      </c>
      <c r="N109" s="46" t="inlineStr">
        <is>
          <t>L</t>
        </is>
      </c>
      <c r="O109" s="9" t="inlineStr">
        <is>
          <t>PRO-OSW-001 §4 (autoridade, competencias e papeis) + README §9</t>
        </is>
      </c>
      <c r="P109" s="9" t="n"/>
      <c r="Q109" s="9" t="n"/>
      <c r="R109" s="9" t="inlineStr">
        <is>
          <t>Papeis/autoridade definidos; organograma e matriz RACI consolidados pendentes.</t>
        </is>
      </c>
    </row>
    <row r="110" ht="48" customHeight="1">
      <c r="A110" s="9" t="n">
        <v>109</v>
      </c>
      <c r="B110" s="9" t="inlineStr">
        <is>
          <t>Organizacional</t>
        </is>
      </c>
      <c r="C110" s="9" t="inlineStr">
        <is>
          <t>Gerencia Organizacional de Software</t>
        </is>
      </c>
      <c r="D110" s="9" t="inlineStr">
        <is>
          <t>OSW</t>
        </is>
      </c>
      <c r="E110" s="9" t="inlineStr">
        <is>
          <t>OSW 4+ (a partir de E)</t>
        </is>
      </c>
      <c r="F110" s="17" t="inlineStr">
        <is>
          <t>E</t>
        </is>
      </c>
      <c r="G110" s="11" t="inlineStr">
        <is>
          <t>Nao</t>
        </is>
      </c>
      <c r="H110" s="9" t="inlineStr">
        <is>
          <t>A atribuicao de autoridade, o alinhamento das competencias requeridas e dos colaboradores aos objetivos organizacionais... sao assegurados pela gerencia da organizacao.</t>
        </is>
      </c>
      <c r="I110" s="9" t="inlineStr">
        <is>
          <t>O alinhamento inclui as COMPETENCIAS requeridas vinculadas aos objetivos organizacionais?</t>
        </is>
      </c>
      <c r="J110" s="9" t="inlineStr">
        <is>
          <t>Mapa de competencias x objetivos + alinhamento assegurado.</t>
        </is>
      </c>
      <c r="K110" s="9" t="inlineStr">
        <is>
          <t>1) Vincule competencias necessarias aos objetivos. 2) Alinhe pessoas. 3) Registre.</t>
        </is>
      </c>
      <c r="L110" s="9" t="inlineStr">
        <is>
          <t>Objetivos sem as competencias necessarias mapeadas.</t>
        </is>
      </c>
      <c r="M110" s="9" t="inlineStr">
        <is>
          <t>Matriz de competencias, gestao por objetivos.</t>
        </is>
      </c>
      <c r="N110" s="45" t="inlineStr">
        <is>
          <t>P</t>
        </is>
      </c>
      <c r="O110" s="9" t="inlineStr">
        <is>
          <t>PRO-OSW-001 §4 (competencias vinculadas a objetivos)</t>
        </is>
      </c>
      <c r="P110" s="9" t="n"/>
      <c r="Q110" s="9" t="n"/>
      <c r="R110" s="9" t="inlineStr">
        <is>
          <t>Matriz de competencias x objetivos formal pendente.</t>
        </is>
      </c>
    </row>
    <row r="111" ht="36" customHeight="1">
      <c r="A111" s="9" t="n">
        <v>110</v>
      </c>
      <c r="B111" s="9" t="inlineStr">
        <is>
          <t>Organizacional</t>
        </is>
      </c>
      <c r="C111" s="9" t="inlineStr">
        <is>
          <t>Gerencia Organizacional de Software</t>
        </is>
      </c>
      <c r="D111" s="9" t="inlineStr">
        <is>
          <t>OSW</t>
        </is>
      </c>
      <c r="E111" s="9" t="inlineStr">
        <is>
          <t>OSW 5 (no nivel F)</t>
        </is>
      </c>
      <c r="F111" s="15" t="inlineStr">
        <is>
          <t>F</t>
        </is>
      </c>
      <c r="G111" s="11" t="inlineStr">
        <is>
          <t>Nao</t>
        </is>
      </c>
      <c r="H111" s="9" t="inlineStr">
        <is>
          <t>Os riscos ou oportunidades organizacionais sao identificados, analisados, monitorados e comunicados para as partes afetadas.</t>
        </is>
      </c>
      <c r="I111" s="9" t="inlineStr">
        <is>
          <t>Riscos/oportunidades ORGANIZACIONAIS (nao so de projeto) sao geridos e comunicados?</t>
        </is>
      </c>
      <c r="J111" s="9" t="inlineStr">
        <is>
          <t>Registro de riscos organizacionais.</t>
        </is>
      </c>
      <c r="K111" s="9" t="inlineStr">
        <is>
          <t>1) Identifique riscos no nivel da organizacao. 2) Analise, monitore. 3) Comunique aos afetados.</t>
        </is>
      </c>
      <c r="L111" s="9" t="inlineStr">
        <is>
          <t>So gerir risco de projeto, ignorando risco organizacional.</t>
        </is>
      </c>
      <c r="M111" s="9" t="inlineStr">
        <is>
          <t>Registro de riscos corporativo.</t>
        </is>
      </c>
      <c r="N111" s="45" t="inlineStr">
        <is>
          <t>P</t>
        </is>
      </c>
      <c r="O111" s="9" t="inlineStr">
        <is>
          <t>PRO-OSW-001 §5 + EST-GPC-002 (riscos organizacionais)</t>
        </is>
      </c>
      <c r="P111" s="9" t="n"/>
      <c r="Q111" s="9" t="n"/>
      <c r="R111" s="9" t="inlineStr">
        <is>
          <t>Definicao pronta; registro de riscos organizacionais efetivo pendente.</t>
        </is>
      </c>
    </row>
    <row r="112" ht="48" customHeight="1">
      <c r="A112" s="9" t="n">
        <v>111</v>
      </c>
      <c r="B112" s="9" t="inlineStr">
        <is>
          <t>Organizacional</t>
        </is>
      </c>
      <c r="C112" s="9" t="inlineStr">
        <is>
          <t>Gerencia Organizacional de Software</t>
        </is>
      </c>
      <c r="D112" s="9" t="inlineStr">
        <is>
          <t>OSW</t>
        </is>
      </c>
      <c r="E112" s="9" t="inlineStr">
        <is>
          <t>OSW 5+ (a partir de E)</t>
        </is>
      </c>
      <c r="F112" s="17" t="inlineStr">
        <is>
          <t>E</t>
        </is>
      </c>
      <c r="G112" s="11" t="inlineStr">
        <is>
          <t>Nao</t>
        </is>
      </c>
      <c r="H112" s="9" t="inlineStr">
        <is>
          <t>Os riscos ou oportunidades organizacionais sao identificados, analisados, priorizados, tratados, documentados, monitorados e comunicados..., de acordo com a estrategia definida para gerencia de riscos e oportunidades.</t>
        </is>
      </c>
      <c r="I112" s="9" t="inlineStr">
        <is>
          <t>A gestao de riscos organizacionais segue a estrategia definida (GPC 7), com priorizacao e tratamento?</t>
        </is>
      </c>
      <c r="J112" s="9" t="inlineStr">
        <is>
          <t>Riscos organizacionais geridos conforme estrategia (GPC 7).</t>
        </is>
      </c>
      <c r="K112" s="9" t="inlineStr">
        <is>
          <t>1) Aplique a estrategia organizacional de riscos. 2) Priorize e trate. 3) Documente e monitore.</t>
        </is>
      </c>
      <c r="L112" s="9" t="inlineStr">
        <is>
          <t>Gerir risco organizacional fora da estrategia definida.</t>
        </is>
      </c>
      <c r="M112" s="9" t="inlineStr">
        <is>
          <t>Estrategia de riscos, registro corporativo.</t>
        </is>
      </c>
      <c r="N112" s="45" t="inlineStr">
        <is>
          <t>P</t>
        </is>
      </c>
      <c r="O112" s="9" t="inlineStr">
        <is>
          <t>EST-GPC-002 (riscos organizacionais conforme estrategia)</t>
        </is>
      </c>
      <c r="P112" s="9" t="n"/>
      <c r="Q112" s="9" t="n"/>
      <c r="R112" s="9" t="inlineStr">
        <is>
          <t>Definido; registro efetivo pendente.</t>
        </is>
      </c>
    </row>
    <row r="113" ht="36" customHeight="1">
      <c r="A113" s="9" t="n">
        <v>112</v>
      </c>
      <c r="B113" s="9" t="inlineStr">
        <is>
          <t>Organizacional</t>
        </is>
      </c>
      <c r="C113" s="9" t="inlineStr">
        <is>
          <t>Gerencia Organizacional de Software</t>
        </is>
      </c>
      <c r="D113" s="9" t="inlineStr">
        <is>
          <t>OSW</t>
        </is>
      </c>
      <c r="E113" s="9" t="inlineStr">
        <is>
          <t>OSW 6 (a partir de E)</t>
        </is>
      </c>
      <c r="F113" s="17" t="inlineStr">
        <is>
          <t>E</t>
        </is>
      </c>
      <c r="G113" s="11" t="inlineStr">
        <is>
          <t>Nao</t>
        </is>
      </c>
      <c r="H113" s="9" t="inlineStr">
        <is>
          <t>Medidas para o gerenciamento dos objetivos organizacionais tem sua coleta, analise e uso garantidos pela gerencia da organizacao.</t>
        </is>
      </c>
      <c r="I113" s="9" t="inlineStr">
        <is>
          <t>A gerencia garante coleta/analise/uso de medidas para os objetivos organizacionais?</t>
        </is>
      </c>
      <c r="J113" s="9" t="inlineStr">
        <is>
          <t>Medidas organizacionais coletadas e usadas pela gerencia.</t>
        </is>
      </c>
      <c r="K113" s="9" t="inlineStr">
        <is>
          <t>1) Defina medidas dos objetivos organizacionais. 2) Garanta coleta e analise. 3) Use.</t>
        </is>
      </c>
      <c r="L113" s="9" t="inlineStr">
        <is>
          <t>Objetivos organizacionais sem medidas que os acompanhem.</t>
        </is>
      </c>
      <c r="M113" s="9" t="inlineStr">
        <is>
          <t>Dashboard de objetivos, OKRs medidos.</t>
        </is>
      </c>
      <c r="N113" s="45" t="inlineStr">
        <is>
          <t>P</t>
        </is>
      </c>
      <c r="O113" s="9" t="inlineStr">
        <is>
          <t>PLA-MED-001 + PRO-OSW-001 §6 (medidas dos objetivos organizacionais)</t>
        </is>
      </c>
      <c r="P113" s="9" t="n"/>
      <c r="Q113" s="9" t="n"/>
      <c r="R113" s="9" t="inlineStr">
        <is>
          <t>Definido; coleta/uso efetivo depende da consolidacao de indicadores (ver MED 4+).</t>
        </is>
      </c>
    </row>
    <row r="114" ht="24" customHeight="1">
      <c r="A114" s="9" t="n">
        <v>113</v>
      </c>
      <c r="B114" s="9" t="inlineStr">
        <is>
          <t>Organizacional</t>
        </is>
      </c>
      <c r="C114" s="9" t="inlineStr">
        <is>
          <t>Gerencia Organizacional de Software</t>
        </is>
      </c>
      <c r="D114" s="9" t="inlineStr">
        <is>
          <t>OSW</t>
        </is>
      </c>
      <c r="E114" s="9" t="inlineStr">
        <is>
          <t>OSW 7 (a partir de E)</t>
        </is>
      </c>
      <c r="F114" s="17" t="inlineStr">
        <is>
          <t>E</t>
        </is>
      </c>
      <c r="G114" s="11" t="inlineStr">
        <is>
          <t>Nao</t>
        </is>
      </c>
      <c r="H114" s="9" t="inlineStr">
        <is>
          <t>O alinhamento dos processos aos objetivos organizacionais e garantido pela gerencia da organizacao.</t>
        </is>
      </c>
      <c r="I114" s="9" t="inlineStr">
        <is>
          <t>A gerencia garante que os processos estao alinhados aos objetivos da organizacao?</t>
        </is>
      </c>
      <c r="J114" s="9" t="inlineStr">
        <is>
          <t>Registro de alinhamento processo x objetivo.</t>
        </is>
      </c>
      <c r="K114" s="9" t="inlineStr">
        <is>
          <t>1) Verifique se os processos servem aos objetivos. 2) Ajuste desalinhamentos. 3) Registre.</t>
        </is>
      </c>
      <c r="L114" s="9" t="inlineStr">
        <is>
          <t>Processo que existe mas nao contribui para objetivo nenhum.</t>
        </is>
      </c>
      <c r="M114" s="9" t="inlineStr">
        <is>
          <t>Mapa processo x objetivo, analise critica.</t>
        </is>
      </c>
      <c r="N114" s="45" t="inlineStr">
        <is>
          <t>P</t>
        </is>
      </c>
      <c r="O114" s="9" t="inlineStr">
        <is>
          <t>PRO-OSW-001 §7 (alinhamento processos x objetivos)</t>
        </is>
      </c>
      <c r="P114" s="9" t="n"/>
      <c r="Q114" s="9" t="n"/>
      <c r="R114" s="9" t="inlineStr">
        <is>
          <t>Mecanismo (analise critica) definido; registros efetivos pendentes.</t>
        </is>
      </c>
    </row>
    <row r="115" ht="60" customHeight="1">
      <c r="A115" s="9" t="n">
        <v>114</v>
      </c>
      <c r="B115" s="9" t="inlineStr">
        <is>
          <t>Organizacional</t>
        </is>
      </c>
      <c r="C115" s="9" t="inlineStr">
        <is>
          <t>Gerencia Organizacional de Software</t>
        </is>
      </c>
      <c r="D115" s="9" t="inlineStr">
        <is>
          <t>OSW</t>
        </is>
      </c>
      <c r="E115" s="9" t="inlineStr">
        <is>
          <t>OSW 8 (a partir de C)</t>
        </is>
      </c>
      <c r="F115" s="16" t="inlineStr">
        <is>
          <t>C</t>
        </is>
      </c>
      <c r="G115" s="11" t="inlineStr">
        <is>
          <t>Nao</t>
        </is>
      </c>
      <c r="H115" s="9" t="inlineStr">
        <is>
          <t>As oportunidades de negocio, as necessidades e os investimentos sao identificados, qualificados e priorizados, de acordo com criterios derivados dos objetivos organizacionais. (Nota: aplica-se quando ha portfolio; pode ser excluido se a empresa tem apenas um projeto.)</t>
        </is>
      </c>
      <c r="I115" s="9" t="inlineStr">
        <is>
          <t>As oportunidades/investimentos do PORTFOLIO sao identificados, qualificados e priorizados por criterios? (Excluivel se projeto unico.)</t>
        </is>
      </c>
      <c r="J115" s="9" t="inlineStr">
        <is>
          <t>Registro de priorizacao de portfolio de projetos.</t>
        </is>
      </c>
      <c r="K115" s="9" t="inlineStr">
        <is>
          <t>1) Defina criterios derivados dos objetivos. 2) Qualifique e priorize oportunidades/investimentos. 3) Registre. (Ou exclua se projeto unico.)</t>
        </is>
      </c>
      <c r="L115" s="9" t="inlineStr">
        <is>
          <t>Aceitar projetos sem priorizacao de portfolio.</t>
        </is>
      </c>
      <c r="M115" s="9" t="inlineStr">
        <is>
          <t>Gestao de portfolio, matriz de priorizacao.</t>
        </is>
      </c>
      <c r="N115" s="45" t="inlineStr">
        <is>
          <t>P</t>
        </is>
      </c>
      <c r="O115" s="9" t="inlineStr">
        <is>
          <t>PRO-OSW-002 §3 (priorizacao de portfolio)</t>
        </is>
      </c>
      <c r="P115" s="9" t="n"/>
      <c r="Q115" s="9" t="n"/>
      <c r="R115" s="9" t="inlineStr">
        <is>
          <t>Processo definido; quadro de capacity/priorizacao informal a formalizar como evidencia (nivel C).</t>
        </is>
      </c>
    </row>
    <row r="116" ht="36" customHeight="1">
      <c r="A116" s="9" t="n">
        <v>115</v>
      </c>
      <c r="B116" s="9" t="inlineStr">
        <is>
          <t>Organizacional</t>
        </is>
      </c>
      <c r="C116" s="9" t="inlineStr">
        <is>
          <t>Gerencia Organizacional de Software</t>
        </is>
      </c>
      <c r="D116" s="9" t="inlineStr">
        <is>
          <t>OSW</t>
        </is>
      </c>
      <c r="E116" s="9" t="inlineStr">
        <is>
          <t>OSW 9 (a partir de C)</t>
        </is>
      </c>
      <c r="F116" s="16" t="inlineStr">
        <is>
          <t>C</t>
        </is>
      </c>
      <c r="G116" s="11" t="inlineStr">
        <is>
          <t>Nao</t>
        </is>
      </c>
      <c r="H116" s="9" t="inlineStr">
        <is>
          <t>Os recursos necessarios, orcamentos, responsabilidade e autoridade para o gerenciamento do portfolio de projetos sao estabelecidos e acompanhados. (Excluivel se projeto unico.)</t>
        </is>
      </c>
      <c r="I116" s="9" t="inlineStr">
        <is>
          <t>Ha recursos, orcamento, responsabilidade e autoridade definidos para gerir o PORTFOLIO? (Excluivel se projeto unico.)</t>
        </is>
      </c>
      <c r="J116" s="9" t="inlineStr">
        <is>
          <t>Definicao de governanca do portfolio (recursos, orcamento, papeis).</t>
        </is>
      </c>
      <c r="K116" s="9" t="inlineStr">
        <is>
          <t>1) Estabeleca governanca do portfolio. 2) Defina orcamento e autoridade. 3) Acompanhe.</t>
        </is>
      </c>
      <c r="L116" s="9" t="inlineStr">
        <is>
          <t>Portfolio sem dono nem orcamento.</t>
        </is>
      </c>
      <c r="M116" s="9" t="inlineStr">
        <is>
          <t>PMO, gestao de portfolio.</t>
        </is>
      </c>
      <c r="N116" s="45" t="inlineStr">
        <is>
          <t>P</t>
        </is>
      </c>
      <c r="O116" s="9" t="inlineStr">
        <is>
          <t>PRO-OSW-002 §4 (governanca do portfolio: recursos/orcamento/autoridade)</t>
        </is>
      </c>
      <c r="P116" s="9" t="n"/>
      <c r="Q116" s="9" t="n"/>
      <c r="R116" s="9" t="inlineStr">
        <is>
          <t>Processo definido; evidencia formal de governanca do portfolio pendente (nivel C).</t>
        </is>
      </c>
    </row>
    <row r="117" ht="48" customHeight="1">
      <c r="A117" s="9" t="n">
        <v>116</v>
      </c>
      <c r="B117" s="9" t="inlineStr">
        <is>
          <t>Organizacional</t>
        </is>
      </c>
      <c r="C117" s="9" t="inlineStr">
        <is>
          <t>Gerencia Organizacional de Software</t>
        </is>
      </c>
      <c r="D117" s="9" t="inlineStr">
        <is>
          <t>OSW</t>
        </is>
      </c>
      <c r="E117" s="9" t="inlineStr">
        <is>
          <t>OSW 10 (a partir de C)</t>
        </is>
      </c>
      <c r="F117" s="16" t="inlineStr">
        <is>
          <t>C</t>
        </is>
      </c>
      <c r="G117" s="11" t="inlineStr">
        <is>
          <t>Nao</t>
        </is>
      </c>
      <c r="H117" s="9" t="inlineStr">
        <is>
          <t>Os projetos do portfolio que atendem aos acordos e requisitos que levaram a sua aprovacao sao mantidos, e os que nao atendem sao tratados conforme pertinente, considerando o acordo estabelecido. (Excluivel se projeto unico.)</t>
        </is>
      </c>
      <c r="I117" s="9" t="inlineStr">
        <is>
          <t>Os projetos do portfolio sao acompanhados contra o que justificou sua aprovacao, com tratamento dos que desviam? (Excluivel se projeto unico.)</t>
        </is>
      </c>
      <c r="J117" s="9" t="inlineStr">
        <is>
          <t>Registro de acompanhamento e tratamento de projetos do portfolio.</t>
        </is>
      </c>
      <c r="K117" s="9" t="inlineStr">
        <is>
          <t>1) Acompanhe se cada projeto ainda atende ao que justificou aprova-lo. 2) Trate (continuar/ajustar/cancelar). 3) Registre.</t>
        </is>
      </c>
      <c r="L117" s="9" t="inlineStr">
        <is>
          <t>Manter projeto que ja nao faz sentido no portfolio.</t>
        </is>
      </c>
      <c r="M117" s="9" t="inlineStr">
        <is>
          <t>Revisao de portfolio (stage-gate).</t>
        </is>
      </c>
      <c r="N117" s="45" t="inlineStr">
        <is>
          <t>P</t>
        </is>
      </c>
      <c r="O117" s="9" t="inlineStr">
        <is>
          <t>PRO-OSW-002 §5 (acompanhamento/tratamento de projetos do portfolio)</t>
        </is>
      </c>
      <c r="P117" s="9" t="n"/>
      <c r="Q117" s="9" t="n"/>
      <c r="R117" s="9" t="inlineStr">
        <is>
          <t>Processo definido; registros de acompanhamento do portfolio pendentes (nivel C).</t>
        </is>
      </c>
    </row>
  </sheetData>
  <autoFilter ref="A1:R117"/>
  <conditionalFormatting sqref="N2:N117">
    <cfRule type="cellIs" priority="2" operator="equal" dxfId="4">
      <formula>"T"</formula>
    </cfRule>
    <cfRule type="cellIs" priority="3" operator="equal" dxfId="3">
      <formula>"L"</formula>
    </cfRule>
    <cfRule type="cellIs" priority="4" operator="equal" dxfId="2">
      <formula>"P"</formula>
    </cfRule>
    <cfRule type="cellIs" priority="5" operator="equal" dxfId="1">
      <formula>"N"</formula>
    </cfRule>
    <cfRule type="cellIs" priority="6" operator="equal" dxfId="0">
      <formula>"NA"</formula>
    </cfRule>
  </conditionalFormatting>
  <dataValidations count="1">
    <dataValidation sqref="N2:N117" showDropDown="0" showInputMessage="0" showErrorMessage="0" allowBlank="1" errorTitle="Status invalido" error="Use T, L, P, N ou NA" type="list">
      <formula1>"T,L,P,N,NA"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0" customWidth="1" min="1" max="1"/>
    <col width="8" customWidth="1" min="2" max="2"/>
    <col width="10" customWidth="1" min="3" max="3"/>
    <col width="6" customWidth="1" min="4" max="8"/>
    <col width="22" customWidth="1" min="9" max="9"/>
  </cols>
  <sheetData>
    <row r="1" ht="18" customHeight="1">
      <c r="A1" s="18" t="inlineStr">
        <is>
          <t>PAINEL DE PROGRESSO</t>
        </is>
      </c>
    </row>
    <row r="2" ht="30" customHeight="1">
      <c r="A2" s="1" t="inlineStr">
        <is>
          <t>Atualiza automaticamente conforme a coluna STATUS da aba Diagnostico e preenchida. % Implementado considera T e L como implementados; ignora NA.</t>
        </is>
      </c>
    </row>
    <row r="4">
      <c r="A4" s="8" t="inlineStr">
        <is>
          <t>Processo</t>
        </is>
      </c>
      <c r="B4" s="8" t="inlineStr">
        <is>
          <t>Cod</t>
        </is>
      </c>
      <c r="C4" s="8" t="inlineStr">
        <is>
          <t>Total RE</t>
        </is>
      </c>
      <c r="D4" s="8" t="inlineStr">
        <is>
          <t>T</t>
        </is>
      </c>
      <c r="E4" s="8" t="inlineStr">
        <is>
          <t>L</t>
        </is>
      </c>
      <c r="F4" s="8" t="inlineStr">
        <is>
          <t>P</t>
        </is>
      </c>
      <c r="G4" s="8" t="inlineStr">
        <is>
          <t>N</t>
        </is>
      </c>
      <c r="H4" s="8" t="inlineStr">
        <is>
          <t>NA</t>
        </is>
      </c>
      <c r="I4" s="8" t="inlineStr">
        <is>
          <t>% Implementado (T+L)</t>
        </is>
      </c>
    </row>
    <row r="5">
      <c r="A5" s="19" t="inlineStr">
        <is>
          <t>Gerencia de Projetos</t>
        </is>
      </c>
      <c r="B5" s="20" t="inlineStr">
        <is>
          <t>GPR</t>
        </is>
      </c>
      <c r="C5" s="21">
        <f>COUNTIF(Diagnostico!$D$2:$D$117,B5)</f>
        <v/>
      </c>
      <c r="D5" s="21">
        <f>COUNTIFS(Diagnostico!$D$2:$D$117,B5,Diagnostico!$N$2:$N$117,"T")</f>
        <v/>
      </c>
      <c r="E5" s="21">
        <f>COUNTIFS(Diagnostico!$D$2:$D$117,B5,Diagnostico!$N$2:$N$117,"L")</f>
        <v/>
      </c>
      <c r="F5" s="21">
        <f>COUNTIFS(Diagnostico!$D$2:$D$117,B5,Diagnostico!$N$2:$N$117,"P")</f>
        <v/>
      </c>
      <c r="G5" s="21">
        <f>COUNTIFS(Diagnostico!$D$2:$D$117,B5,Diagnostico!$N$2:$N$117,"N")</f>
        <v/>
      </c>
      <c r="H5" s="21">
        <f>COUNTIFS(Diagnostico!$D$2:$D$117,B5,Diagnostico!$N$2:$N$117,"NA")</f>
        <v/>
      </c>
      <c r="I5" s="22">
        <f>IFERROR((D5+E5)/(C5-H5),0)</f>
        <v/>
      </c>
    </row>
    <row r="6">
      <c r="A6" s="19" t="inlineStr">
        <is>
          <t>Engenharia de Requisitos</t>
        </is>
      </c>
      <c r="B6" s="20" t="inlineStr">
        <is>
          <t>REQ</t>
        </is>
      </c>
      <c r="C6" s="21">
        <f>COUNTIF(Diagnostico!$D$2:$D$117,B6)</f>
        <v/>
      </c>
      <c r="D6" s="21">
        <f>COUNTIFS(Diagnostico!$D$2:$D$117,B6,Diagnostico!$N$2:$N$117,"T")</f>
        <v/>
      </c>
      <c r="E6" s="21">
        <f>COUNTIFS(Diagnostico!$D$2:$D$117,B6,Diagnostico!$N$2:$N$117,"L")</f>
        <v/>
      </c>
      <c r="F6" s="21">
        <f>COUNTIFS(Diagnostico!$D$2:$D$117,B6,Diagnostico!$N$2:$N$117,"P")</f>
        <v/>
      </c>
      <c r="G6" s="21">
        <f>COUNTIFS(Diagnostico!$D$2:$D$117,B6,Diagnostico!$N$2:$N$117,"N")</f>
        <v/>
      </c>
      <c r="H6" s="21">
        <f>COUNTIFS(Diagnostico!$D$2:$D$117,B6,Diagnostico!$N$2:$N$117,"NA")</f>
        <v/>
      </c>
      <c r="I6" s="22">
        <f>IFERROR((D6+E6)/(C6-H6),0)</f>
        <v/>
      </c>
    </row>
    <row r="7">
      <c r="A7" s="19" t="inlineStr">
        <is>
          <t>Projeto e Construcao do Produto</t>
        </is>
      </c>
      <c r="B7" s="20" t="inlineStr">
        <is>
          <t>PCP</t>
        </is>
      </c>
      <c r="C7" s="21">
        <f>COUNTIF(Diagnostico!$D$2:$D$117,B7)</f>
        <v/>
      </c>
      <c r="D7" s="21">
        <f>COUNTIFS(Diagnostico!$D$2:$D$117,B7,Diagnostico!$N$2:$N$117,"T")</f>
        <v/>
      </c>
      <c r="E7" s="21">
        <f>COUNTIFS(Diagnostico!$D$2:$D$117,B7,Diagnostico!$N$2:$N$117,"L")</f>
        <v/>
      </c>
      <c r="F7" s="21">
        <f>COUNTIFS(Diagnostico!$D$2:$D$117,B7,Diagnostico!$N$2:$N$117,"P")</f>
        <v/>
      </c>
      <c r="G7" s="21">
        <f>COUNTIFS(Diagnostico!$D$2:$D$117,B7,Diagnostico!$N$2:$N$117,"N")</f>
        <v/>
      </c>
      <c r="H7" s="21">
        <f>COUNTIFS(Diagnostico!$D$2:$D$117,B7,Diagnostico!$N$2:$N$117,"NA")</f>
        <v/>
      </c>
      <c r="I7" s="22">
        <f>IFERROR((D7+E7)/(C7-H7),0)</f>
        <v/>
      </c>
    </row>
    <row r="8">
      <c r="A8" s="19" t="inlineStr">
        <is>
          <t>Integracao do Produto</t>
        </is>
      </c>
      <c r="B8" s="20" t="inlineStr">
        <is>
          <t>ITP</t>
        </is>
      </c>
      <c r="C8" s="21">
        <f>COUNTIF(Diagnostico!$D$2:$D$117,B8)</f>
        <v/>
      </c>
      <c r="D8" s="21">
        <f>COUNTIFS(Diagnostico!$D$2:$D$117,B8,Diagnostico!$N$2:$N$117,"T")</f>
        <v/>
      </c>
      <c r="E8" s="21">
        <f>COUNTIFS(Diagnostico!$D$2:$D$117,B8,Diagnostico!$N$2:$N$117,"L")</f>
        <v/>
      </c>
      <c r="F8" s="21">
        <f>COUNTIFS(Diagnostico!$D$2:$D$117,B8,Diagnostico!$N$2:$N$117,"P")</f>
        <v/>
      </c>
      <c r="G8" s="21">
        <f>COUNTIFS(Diagnostico!$D$2:$D$117,B8,Diagnostico!$N$2:$N$117,"N")</f>
        <v/>
      </c>
      <c r="H8" s="21">
        <f>COUNTIFS(Diagnostico!$D$2:$D$117,B8,Diagnostico!$N$2:$N$117,"NA")</f>
        <v/>
      </c>
      <c r="I8" s="22">
        <f>IFERROR((D8+E8)/(C8-H8),0)</f>
        <v/>
      </c>
    </row>
    <row r="9">
      <c r="A9" s="19" t="inlineStr">
        <is>
          <t>Verificacao e Validacao</t>
        </is>
      </c>
      <c r="B9" s="20" t="inlineStr">
        <is>
          <t>VV</t>
        </is>
      </c>
      <c r="C9" s="21">
        <f>COUNTIF(Diagnostico!$D$2:$D$117,B9)</f>
        <v/>
      </c>
      <c r="D9" s="21">
        <f>COUNTIFS(Diagnostico!$D$2:$D$117,B9,Diagnostico!$N$2:$N$117,"T")</f>
        <v/>
      </c>
      <c r="E9" s="21">
        <f>COUNTIFS(Diagnostico!$D$2:$D$117,B9,Diagnostico!$N$2:$N$117,"L")</f>
        <v/>
      </c>
      <c r="F9" s="21">
        <f>COUNTIFS(Diagnostico!$D$2:$D$117,B9,Diagnostico!$N$2:$N$117,"P")</f>
        <v/>
      </c>
      <c r="G9" s="21">
        <f>COUNTIFS(Diagnostico!$D$2:$D$117,B9,Diagnostico!$N$2:$N$117,"N")</f>
        <v/>
      </c>
      <c r="H9" s="21">
        <f>COUNTIFS(Diagnostico!$D$2:$D$117,B9,Diagnostico!$N$2:$N$117,"NA")</f>
        <v/>
      </c>
      <c r="I9" s="22">
        <f>IFERROR((D9+E9)/(C9-H9),0)</f>
        <v/>
      </c>
    </row>
    <row r="10">
      <c r="A10" s="19" t="inlineStr">
        <is>
          <t>Gerencia de Configuracao</t>
        </is>
      </c>
      <c r="B10" s="20" t="inlineStr">
        <is>
          <t>GCO</t>
        </is>
      </c>
      <c r="C10" s="21">
        <f>COUNTIF(Diagnostico!$D$2:$D$117,B10)</f>
        <v/>
      </c>
      <c r="D10" s="21">
        <f>COUNTIFS(Diagnostico!$D$2:$D$117,B10,Diagnostico!$N$2:$N$117,"T")</f>
        <v/>
      </c>
      <c r="E10" s="21">
        <f>COUNTIFS(Diagnostico!$D$2:$D$117,B10,Diagnostico!$N$2:$N$117,"L")</f>
        <v/>
      </c>
      <c r="F10" s="21">
        <f>COUNTIFS(Diagnostico!$D$2:$D$117,B10,Diagnostico!$N$2:$N$117,"P")</f>
        <v/>
      </c>
      <c r="G10" s="21">
        <f>COUNTIFS(Diagnostico!$D$2:$D$117,B10,Diagnostico!$N$2:$N$117,"N")</f>
        <v/>
      </c>
      <c r="H10" s="21">
        <f>COUNTIFS(Diagnostico!$D$2:$D$117,B10,Diagnostico!$N$2:$N$117,"NA")</f>
        <v/>
      </c>
      <c r="I10" s="22">
        <f>IFERROR((D10+E10)/(C10-H10),0)</f>
        <v/>
      </c>
    </row>
    <row r="11">
      <c r="A11" s="19" t="inlineStr">
        <is>
          <t>Aquisicao</t>
        </is>
      </c>
      <c r="B11" s="20" t="inlineStr">
        <is>
          <t>AQU</t>
        </is>
      </c>
      <c r="C11" s="21">
        <f>COUNTIF(Diagnostico!$D$2:$D$117,B11)</f>
        <v/>
      </c>
      <c r="D11" s="21">
        <f>COUNTIFS(Diagnostico!$D$2:$D$117,B11,Diagnostico!$N$2:$N$117,"T")</f>
        <v/>
      </c>
      <c r="E11" s="21">
        <f>COUNTIFS(Diagnostico!$D$2:$D$117,B11,Diagnostico!$N$2:$N$117,"L")</f>
        <v/>
      </c>
      <c r="F11" s="21">
        <f>COUNTIFS(Diagnostico!$D$2:$D$117,B11,Diagnostico!$N$2:$N$117,"P")</f>
        <v/>
      </c>
      <c r="G11" s="21">
        <f>COUNTIFS(Diagnostico!$D$2:$D$117,B11,Diagnostico!$N$2:$N$117,"N")</f>
        <v/>
      </c>
      <c r="H11" s="21">
        <f>COUNTIFS(Diagnostico!$D$2:$D$117,B11,Diagnostico!$N$2:$N$117,"NA")</f>
        <v/>
      </c>
      <c r="I11" s="22">
        <f>IFERROR((D11+E11)/(C11-H11),0)</f>
        <v/>
      </c>
    </row>
    <row r="12">
      <c r="A12" s="19" t="inlineStr">
        <is>
          <t>Medicao</t>
        </is>
      </c>
      <c r="B12" s="20" t="inlineStr">
        <is>
          <t>MED</t>
        </is>
      </c>
      <c r="C12" s="21">
        <f>COUNTIF(Diagnostico!$D$2:$D$117,B12)</f>
        <v/>
      </c>
      <c r="D12" s="21">
        <f>COUNTIFS(Diagnostico!$D$2:$D$117,B12,Diagnostico!$N$2:$N$117,"T")</f>
        <v/>
      </c>
      <c r="E12" s="21">
        <f>COUNTIFS(Diagnostico!$D$2:$D$117,B12,Diagnostico!$N$2:$N$117,"L")</f>
        <v/>
      </c>
      <c r="F12" s="21">
        <f>COUNTIFS(Diagnostico!$D$2:$D$117,B12,Diagnostico!$N$2:$N$117,"P")</f>
        <v/>
      </c>
      <c r="G12" s="21">
        <f>COUNTIFS(Diagnostico!$D$2:$D$117,B12,Diagnostico!$N$2:$N$117,"N")</f>
        <v/>
      </c>
      <c r="H12" s="21">
        <f>COUNTIFS(Diagnostico!$D$2:$D$117,B12,Diagnostico!$N$2:$N$117,"NA")</f>
        <v/>
      </c>
      <c r="I12" s="22">
        <f>IFERROR((D12+E12)/(C12-H12),0)</f>
        <v/>
      </c>
    </row>
    <row r="13">
      <c r="A13" s="19" t="inlineStr">
        <is>
          <t>Gerencia de Decisoes</t>
        </is>
      </c>
      <c r="B13" s="20" t="inlineStr">
        <is>
          <t>GDE</t>
        </is>
      </c>
      <c r="C13" s="21">
        <f>COUNTIF(Diagnostico!$D$2:$D$117,B13)</f>
        <v/>
      </c>
      <c r="D13" s="21">
        <f>COUNTIFS(Diagnostico!$D$2:$D$117,B13,Diagnostico!$N$2:$N$117,"T")</f>
        <v/>
      </c>
      <c r="E13" s="21">
        <f>COUNTIFS(Diagnostico!$D$2:$D$117,B13,Diagnostico!$N$2:$N$117,"L")</f>
        <v/>
      </c>
      <c r="F13" s="21">
        <f>COUNTIFS(Diagnostico!$D$2:$D$117,B13,Diagnostico!$N$2:$N$117,"P")</f>
        <v/>
      </c>
      <c r="G13" s="21">
        <f>COUNTIFS(Diagnostico!$D$2:$D$117,B13,Diagnostico!$N$2:$N$117,"N")</f>
        <v/>
      </c>
      <c r="H13" s="21">
        <f>COUNTIFS(Diagnostico!$D$2:$D$117,B13,Diagnostico!$N$2:$N$117,"NA")</f>
        <v/>
      </c>
      <c r="I13" s="22">
        <f>IFERROR((D13+E13)/(C13-H13),0)</f>
        <v/>
      </c>
    </row>
    <row r="14">
      <c r="A14" s="19" t="inlineStr">
        <is>
          <t>Capacitacao</t>
        </is>
      </c>
      <c r="B14" s="20" t="inlineStr">
        <is>
          <t>CAP</t>
        </is>
      </c>
      <c r="C14" s="21">
        <f>COUNTIF(Diagnostico!$D$2:$D$117,B14)</f>
        <v/>
      </c>
      <c r="D14" s="21">
        <f>COUNTIFS(Diagnostico!$D$2:$D$117,B14,Diagnostico!$N$2:$N$117,"T")</f>
        <v/>
      </c>
      <c r="E14" s="21">
        <f>COUNTIFS(Diagnostico!$D$2:$D$117,B14,Diagnostico!$N$2:$N$117,"L")</f>
        <v/>
      </c>
      <c r="F14" s="21">
        <f>COUNTIFS(Diagnostico!$D$2:$D$117,B14,Diagnostico!$N$2:$N$117,"P")</f>
        <v/>
      </c>
      <c r="G14" s="21">
        <f>COUNTIFS(Diagnostico!$D$2:$D$117,B14,Diagnostico!$N$2:$N$117,"N")</f>
        <v/>
      </c>
      <c r="H14" s="21">
        <f>COUNTIFS(Diagnostico!$D$2:$D$117,B14,Diagnostico!$N$2:$N$117,"NA")</f>
        <v/>
      </c>
      <c r="I14" s="22">
        <f>IFERROR((D14+E14)/(C14-H14),0)</f>
        <v/>
      </c>
    </row>
    <row r="15">
      <c r="A15" s="19" t="inlineStr">
        <is>
          <t>Gerencia de Processos</t>
        </is>
      </c>
      <c r="B15" s="20" t="inlineStr">
        <is>
          <t>GPC</t>
        </is>
      </c>
      <c r="C15" s="21">
        <f>COUNTIF(Diagnostico!$D$2:$D$117,B15)</f>
        <v/>
      </c>
      <c r="D15" s="21">
        <f>COUNTIFS(Diagnostico!$D$2:$D$117,B15,Diagnostico!$N$2:$N$117,"T")</f>
        <v/>
      </c>
      <c r="E15" s="21">
        <f>COUNTIFS(Diagnostico!$D$2:$D$117,B15,Diagnostico!$N$2:$N$117,"L")</f>
        <v/>
      </c>
      <c r="F15" s="21">
        <f>COUNTIFS(Diagnostico!$D$2:$D$117,B15,Diagnostico!$N$2:$N$117,"P")</f>
        <v/>
      </c>
      <c r="G15" s="21">
        <f>COUNTIFS(Diagnostico!$D$2:$D$117,B15,Diagnostico!$N$2:$N$117,"N")</f>
        <v/>
      </c>
      <c r="H15" s="21">
        <f>COUNTIFS(Diagnostico!$D$2:$D$117,B15,Diagnostico!$N$2:$N$117,"NA")</f>
        <v/>
      </c>
      <c r="I15" s="22">
        <f>IFERROR((D15+E15)/(C15-H15),0)</f>
        <v/>
      </c>
    </row>
    <row r="16">
      <c r="A16" s="19" t="inlineStr">
        <is>
          <t>Gerencia Organizacional de Software</t>
        </is>
      </c>
      <c r="B16" s="20" t="inlineStr">
        <is>
          <t>OSW</t>
        </is>
      </c>
      <c r="C16" s="21">
        <f>COUNTIF(Diagnostico!$D$2:$D$117,B16)</f>
        <v/>
      </c>
      <c r="D16" s="21">
        <f>COUNTIFS(Diagnostico!$D$2:$D$117,B16,Diagnostico!$N$2:$N$117,"T")</f>
        <v/>
      </c>
      <c r="E16" s="21">
        <f>COUNTIFS(Diagnostico!$D$2:$D$117,B16,Diagnostico!$N$2:$N$117,"L")</f>
        <v/>
      </c>
      <c r="F16" s="21">
        <f>COUNTIFS(Diagnostico!$D$2:$D$117,B16,Diagnostico!$N$2:$N$117,"P")</f>
        <v/>
      </c>
      <c r="G16" s="21">
        <f>COUNTIFS(Diagnostico!$D$2:$D$117,B16,Diagnostico!$N$2:$N$117,"N")</f>
        <v/>
      </c>
      <c r="H16" s="21">
        <f>COUNTIFS(Diagnostico!$D$2:$D$117,B16,Diagnostico!$N$2:$N$117,"NA")</f>
        <v/>
      </c>
      <c r="I16" s="22">
        <f>IFERROR((D16+E16)/(C16-H16),0)</f>
        <v/>
      </c>
    </row>
    <row r="17">
      <c r="A17" s="23" t="inlineStr">
        <is>
          <t>TOTAL GERAL</t>
        </is>
      </c>
      <c r="B17" s="24" t="n"/>
      <c r="C17" s="25">
        <f>SUM(C5:C16)</f>
        <v/>
      </c>
      <c r="D17" s="25">
        <f>SUM(D5:D16)</f>
        <v/>
      </c>
      <c r="E17" s="25">
        <f>SUM(E5:E16)</f>
        <v/>
      </c>
      <c r="F17" s="25">
        <f>SUM(F5:F16)</f>
        <v/>
      </c>
      <c r="G17" s="25">
        <f>SUM(G5:G16)</f>
        <v/>
      </c>
      <c r="H17" s="25">
        <f>SUM(H5:H16)</f>
        <v/>
      </c>
      <c r="I17" s="26">
        <f>IFERROR((D17+E17)/(C17-H17),0)</f>
        <v/>
      </c>
    </row>
    <row r="19" ht="15.75" customHeight="1">
      <c r="A19" s="27" t="inlineStr">
        <is>
          <t>PROGRESSO POR NIVEL (cumulativo)</t>
        </is>
      </c>
    </row>
    <row r="20" ht="63.75" customHeight="1">
      <c r="A20" s="8" t="inlineStr">
        <is>
          <t>Nivel</t>
        </is>
      </c>
      <c r="B20" s="8" t="inlineStr">
        <is>
          <t>Total RE</t>
        </is>
      </c>
      <c r="C20" s="8" t="inlineStr">
        <is>
          <t>T</t>
        </is>
      </c>
      <c r="D20" s="8" t="inlineStr">
        <is>
          <t>L</t>
        </is>
      </c>
      <c r="E20" s="8" t="inlineStr">
        <is>
          <t>P</t>
        </is>
      </c>
      <c r="F20" s="8" t="inlineStr">
        <is>
          <t>N</t>
        </is>
      </c>
      <c r="G20" s="8" t="inlineStr">
        <is>
          <t>NA</t>
        </is>
      </c>
      <c r="H20" s="8" t="inlineStr">
        <is>
          <t>% Implementado</t>
        </is>
      </c>
    </row>
    <row r="21">
      <c r="A21" s="28" t="inlineStr">
        <is>
          <t>G - Parc. Gerenciado</t>
        </is>
      </c>
      <c r="B21" s="21">
        <f>COUNTIF(Diagnostico!$F$2:$F$117,"G")</f>
        <v/>
      </c>
      <c r="C21" s="21">
        <f>COUNTIFS(Diagnostico!$F$2:$F$117,"G",Diagnostico!$N$2:$N$117,"T")</f>
        <v/>
      </c>
      <c r="D21" s="21">
        <f>COUNTIFS(Diagnostico!$F$2:$F$117,"G",Diagnostico!$N$2:$N$117,"L")</f>
        <v/>
      </c>
      <c r="E21" s="21">
        <f>COUNTIFS(Diagnostico!$F$2:$F$117,"G",Diagnostico!$N$2:$N$117,"P")</f>
        <v/>
      </c>
      <c r="F21" s="21">
        <f>COUNTIFS(Diagnostico!$F$2:$F$117,"G",Diagnostico!$N$2:$N$117,"N")</f>
        <v/>
      </c>
      <c r="G21" s="21">
        <f>COUNTIFS(Diagnostico!$F$2:$F$117,"G",Diagnostico!$N$2:$N$117,"NA")</f>
        <v/>
      </c>
      <c r="H21" s="22">
        <f>IFERROR((C21+D21)/(B21-G21),0)</f>
        <v/>
      </c>
    </row>
    <row r="22">
      <c r="A22" s="29" t="inlineStr">
        <is>
          <t>F - Gerenciado</t>
        </is>
      </c>
      <c r="B22" s="21">
        <f>COUNTIF(Diagnostico!$F$2:$F$117,"F")</f>
        <v/>
      </c>
      <c r="C22" s="21">
        <f>COUNTIFS(Diagnostico!$F$2:$F$117,"F",Diagnostico!$N$2:$N$117,"T")</f>
        <v/>
      </c>
      <c r="D22" s="21">
        <f>COUNTIFS(Diagnostico!$F$2:$F$117,"F",Diagnostico!$N$2:$N$117,"L")</f>
        <v/>
      </c>
      <c r="E22" s="21">
        <f>COUNTIFS(Diagnostico!$F$2:$F$117,"F",Diagnostico!$N$2:$N$117,"P")</f>
        <v/>
      </c>
      <c r="F22" s="21">
        <f>COUNTIFS(Diagnostico!$F$2:$F$117,"F",Diagnostico!$N$2:$N$117,"N")</f>
        <v/>
      </c>
      <c r="G22" s="21">
        <f>COUNTIFS(Diagnostico!$F$2:$F$117,"F",Diagnostico!$N$2:$N$117,"NA")</f>
        <v/>
      </c>
      <c r="H22" s="22">
        <f>IFERROR((C22+D22)/(B22-G22),0)</f>
        <v/>
      </c>
    </row>
    <row r="23">
      <c r="A23" s="30" t="inlineStr">
        <is>
          <t>E - Parc. Definido</t>
        </is>
      </c>
      <c r="B23" s="21">
        <f>COUNTIF(Diagnostico!$F$2:$F$117,"E")</f>
        <v/>
      </c>
      <c r="C23" s="21">
        <f>COUNTIFS(Diagnostico!$F$2:$F$117,"E",Diagnostico!$N$2:$N$117,"T")</f>
        <v/>
      </c>
      <c r="D23" s="21">
        <f>COUNTIFS(Diagnostico!$F$2:$F$117,"E",Diagnostico!$N$2:$N$117,"L")</f>
        <v/>
      </c>
      <c r="E23" s="21">
        <f>COUNTIFS(Diagnostico!$F$2:$F$117,"E",Diagnostico!$N$2:$N$117,"P")</f>
        <v/>
      </c>
      <c r="F23" s="21">
        <f>COUNTIFS(Diagnostico!$F$2:$F$117,"E",Diagnostico!$N$2:$N$117,"N")</f>
        <v/>
      </c>
      <c r="G23" s="21">
        <f>COUNTIFS(Diagnostico!$F$2:$F$117,"E",Diagnostico!$N$2:$N$117,"NA")</f>
        <v/>
      </c>
      <c r="H23" s="22">
        <f>IFERROR((C23+D23)/(B23-G23),0)</f>
        <v/>
      </c>
    </row>
    <row r="24">
      <c r="A24" s="31" t="inlineStr">
        <is>
          <t>D - Largamente Definido</t>
        </is>
      </c>
      <c r="B24" s="21">
        <f>COUNTIF(Diagnostico!$F$2:$F$117,"D")</f>
        <v/>
      </c>
      <c r="C24" s="21">
        <f>COUNTIFS(Diagnostico!$F$2:$F$117,"D",Diagnostico!$N$2:$N$117,"T")</f>
        <v/>
      </c>
      <c r="D24" s="21">
        <f>COUNTIFS(Diagnostico!$F$2:$F$117,"D",Diagnostico!$N$2:$N$117,"L")</f>
        <v/>
      </c>
      <c r="E24" s="21">
        <f>COUNTIFS(Diagnostico!$F$2:$F$117,"D",Diagnostico!$N$2:$N$117,"P")</f>
        <v/>
      </c>
      <c r="F24" s="21">
        <f>COUNTIFS(Diagnostico!$F$2:$F$117,"D",Diagnostico!$N$2:$N$117,"N")</f>
        <v/>
      </c>
      <c r="G24" s="21">
        <f>COUNTIFS(Diagnostico!$F$2:$F$117,"D",Diagnostico!$N$2:$N$117,"NA")</f>
        <v/>
      </c>
      <c r="H24" s="22">
        <f>IFERROR((C24+D24)/(B24-G24),0)</f>
        <v/>
      </c>
    </row>
    <row r="25">
      <c r="A25" s="32" t="inlineStr">
        <is>
          <t>C - Definido</t>
        </is>
      </c>
      <c r="B25" s="21">
        <f>COUNTIF(Diagnostico!$F$2:$F$117,"C")</f>
        <v/>
      </c>
      <c r="C25" s="21">
        <f>COUNTIFS(Diagnostico!$F$2:$F$117,"C",Diagnostico!$N$2:$N$117,"T")</f>
        <v/>
      </c>
      <c r="D25" s="21">
        <f>COUNTIFS(Diagnostico!$F$2:$F$117,"C",Diagnostico!$N$2:$N$117,"L")</f>
        <v/>
      </c>
      <c r="E25" s="21">
        <f>COUNTIFS(Diagnostico!$F$2:$F$117,"C",Diagnostico!$N$2:$N$117,"P")</f>
        <v/>
      </c>
      <c r="F25" s="21">
        <f>COUNTIFS(Diagnostico!$F$2:$F$117,"C",Diagnostico!$N$2:$N$117,"N")</f>
        <v/>
      </c>
      <c r="G25" s="21">
        <f>COUNTIFS(Diagnostico!$F$2:$F$117,"C",Diagnostico!$N$2:$N$117,"NA")</f>
        <v/>
      </c>
      <c r="H25" s="22">
        <f>IFERROR((C25+D25)/(B25-G25),0)</f>
        <v/>
      </c>
    </row>
  </sheetData>
  <mergeCells count="1">
    <mergeCell ref="A2:F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8" customWidth="1" min="1" max="1"/>
    <col width="130" customWidth="1" min="2" max="2"/>
  </cols>
  <sheetData>
    <row r="1" ht="18" customHeight="1">
      <c r="A1" s="18" t="inlineStr">
        <is>
          <t>NIVEIS DE CAPACIDADE DO PROCESSO (CP) - MR-MPS-SW:2024</t>
        </is>
      </c>
    </row>
    <row r="2" ht="42" customHeight="1">
      <c r="A2" s="1" t="inlineStr">
        <is>
          <t>A capacidade descreve COMO o processo e executado (transversal a TODOS os processos do nivel). Alem dos resultados esperados de cada processo, a unidade precisa atender ao nivel de capacidade correspondente. Texto resumido do guia 2024.</t>
        </is>
      </c>
    </row>
    <row r="4">
      <c r="A4" s="33" t="inlineStr">
        <is>
          <t>Nivel</t>
        </is>
      </c>
      <c r="B4" s="33" t="inlineStr">
        <is>
          <t>O que a capacidade exige</t>
        </is>
      </c>
    </row>
    <row r="5" ht="60" customHeight="1">
      <c r="A5" s="34" t="inlineStr">
        <is>
          <t>G</t>
        </is>
      </c>
      <c r="B5" s="35" t="inlineStr">
        <is>
          <t>CP-G: A execucao do processo e gerenciada (produz resultados, e planejada e monitorada, pessoas preparadas).</t>
        </is>
      </c>
    </row>
    <row r="6" ht="60" customHeight="1">
      <c r="A6" s="36" t="inlineStr">
        <is>
          <t>F</t>
        </is>
      </c>
      <c r="B6" s="35" t="inlineStr">
        <is>
          <t>CP-F: Execucao e produtos de trabalho gerenciados (+ verificacao objetiva de aderencia + avaliacao objetiva de produtos + tratamento de nao conformidades).</t>
        </is>
      </c>
    </row>
    <row r="7" ht="60" customHeight="1">
      <c r="A7" s="37" t="inlineStr">
        <is>
          <t>E</t>
        </is>
      </c>
      <c r="B7" s="35" t="inlineStr">
        <is>
          <t>CP-E/D/C: O processo e definido (+ processo padrao e diretrizes de adaptacao usados; verificacao de aderencia E efetividade; oportunidades de melhoria identificadas na GQ; ativos de processo disponibilizados).</t>
        </is>
      </c>
    </row>
    <row r="8" ht="60" customHeight="1">
      <c r="A8" s="38" t="inlineStr">
        <is>
          <t>D</t>
        </is>
      </c>
      <c r="B8" s="35" t="inlineStr">
        <is>
          <t>CP-E/D/C: O processo e definido (mesmos resultados de capacidade do nivel E aplicados aos processos que evoluem em D).</t>
        </is>
      </c>
    </row>
    <row r="9" ht="60" customHeight="1">
      <c r="A9" s="39" t="inlineStr">
        <is>
          <t>C</t>
        </is>
      </c>
      <c r="B9" s="35" t="inlineStr">
        <is>
          <t>CP-E/D/C: O processo e definido (mesmos resultados de capacidade; foco organizacional consolidado).</t>
        </is>
      </c>
    </row>
  </sheetData>
  <mergeCells count="1">
    <mergeCell ref="A2:B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2026-05-31T19:58:26Z</dcterms:created>
  <dcterms:modified xsi:type="dcterms:W3CDTF">2026-06-05T14:45:07Z</dcterms:modified>
  <cp:lastModifiedBy>Silvio Baroni</cp:lastModifiedBy>
  <cp:revision>0</cp:revision>
</cp:coreProperties>
</file>