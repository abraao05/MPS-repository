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drawings/drawing4.xml" ContentType="application/vnd.openxmlformats-officedocument.drawing+xml"/>
  <Override PartName="/xl/worksheets/sheet15.xml" ContentType="application/vnd.openxmlformats-officedocument.spreadsheetml.worksheet+xml"/>
  <Override PartName="/xl/drawings/drawing5.xml" ContentType="application/vnd.openxmlformats-officedocument.drawing+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comments/comment8.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DOS_EMPRESA" sheetId="1" state="visible" r:id="rId1"/>
    <sheet xmlns:r="http://schemas.openxmlformats.org/officeDocument/2006/relationships" name="DADOS_AVAL" sheetId="2" state="visible" r:id="rId2"/>
    <sheet xmlns:r="http://schemas.openxmlformats.org/officeDocument/2006/relationships" name="PROJETOS" sheetId="3" state="visible" r:id="rId3"/>
    <sheet xmlns:r="http://schemas.openxmlformats.org/officeDocument/2006/relationships" name="SERVIÇOS" sheetId="4" state="hidden" r:id="rId4"/>
    <sheet xmlns:r="http://schemas.openxmlformats.org/officeDocument/2006/relationships" name="ÁREAS" sheetId="5" state="hidden" r:id="rId5"/>
    <sheet xmlns:r="http://schemas.openxmlformats.org/officeDocument/2006/relationships" name="PLANO" sheetId="6" state="visible" r:id="rId6"/>
    <sheet xmlns:r="http://schemas.openxmlformats.org/officeDocument/2006/relationships" name="ACORDO_CONFIDENCIALIDADE" sheetId="7" state="visible" r:id="rId7"/>
    <sheet xmlns:r="http://schemas.openxmlformats.org/officeDocument/2006/relationships" name="EQUIPE" sheetId="8" state="visible" r:id="rId8"/>
    <sheet xmlns:r="http://schemas.openxmlformats.org/officeDocument/2006/relationships" name="EQUIPE_ORG" sheetId="9" state="visible" r:id="rId9"/>
    <sheet xmlns:r="http://schemas.openxmlformats.org/officeDocument/2006/relationships" name="CRONOGRAMA_INICIAL" sheetId="10" state="visible" r:id="rId10"/>
    <sheet xmlns:r="http://schemas.openxmlformats.org/officeDocument/2006/relationships" name="CRONOGRAMA_FINAL" sheetId="11" state="visible" r:id="rId11"/>
    <sheet xmlns:r="http://schemas.openxmlformats.org/officeDocument/2006/relationships" name="RESULTADO_INICIAL" sheetId="12" state="visible" r:id="rId12"/>
    <sheet xmlns:r="http://schemas.openxmlformats.org/officeDocument/2006/relationships" name="RESULTADO_FINAL" sheetId="13" state="visible" r:id="rId13"/>
    <sheet xmlns:r="http://schemas.openxmlformats.org/officeDocument/2006/relationships" name="RESULTADO_FINAL_RH" sheetId="14" state="hidden" r:id="rId14"/>
    <sheet xmlns:r="http://schemas.openxmlformats.org/officeDocument/2006/relationships" name="RELATORIO_NIVEIS_AB" sheetId="15" state="hidden" r:id="rId15"/>
    <sheet xmlns:r="http://schemas.openxmlformats.org/officeDocument/2006/relationships" name="DECLARACAO_AVALIACAO" sheetId="16" state="visible" r:id="rId16"/>
    <sheet xmlns:r="http://schemas.openxmlformats.org/officeDocument/2006/relationships" name="SOLICITA_FEEDBACK" sheetId="17" state="visible" r:id="rId17"/>
    <sheet xmlns:r="http://schemas.openxmlformats.org/officeDocument/2006/relationships" name="AUDITORIA" sheetId="18" state="visible" r:id="rId18"/>
    <sheet xmlns:r="http://schemas.openxmlformats.org/officeDocument/2006/relationships" name="PARAMETROS" sheetId="19" state="visible" r:id="rId19"/>
    <sheet xmlns:r="http://schemas.openxmlformats.org/officeDocument/2006/relationships" name="Controle Versão" sheetId="20" state="visible" r:id="rId20"/>
  </sheets>
  <definedNames>
    <definedName name="AbaInstanciaSW">PARAMETROS!$E$19</definedName>
    <definedName name="ParecerFinalAuditoria">PARAMETROS!$G$31:$G$33</definedName>
    <definedName name="NivelSolicitado">DADOS_AVAL!$B$10</definedName>
    <definedName name="ItensResultadoAvaliacaoInicial">PARAMETROS!$D$38:$D$47</definedName>
    <definedName name="AbaInstanciaSV">PARAMETROS!$E$20</definedName>
    <definedName name="ReferenciaInstanciaSW">PARAMETROS!$G$13</definedName>
    <definedName name="TipoClienteOperacaoInstancia">PARAMETROS!$G$19:$G$27</definedName>
    <definedName name="SituacoesInstanciasSV">PARAMETROS!$A$88:$A$93</definedName>
    <definedName name="InstanciaEquipeSV">PARAMETROS!$J$14</definedName>
    <definedName name="CidadeUnidadeOrganizacional">DADOS_EMPRESA!$B$5</definedName>
    <definedName name="StatusInstanciasSV">PARAMETROS!$I$14</definedName>
    <definedName name="VariacoesNaoSeAplica">PARAMETROS!$H$3:$H$9</definedName>
    <definedName name="EnderecoUO3">DADOS_EMPRESA!$B$16</definedName>
    <definedName name="DadosProjetos">PROJETOS!$A$5:$N$35</definedName>
    <definedName name="FasesServicos">PARAMETROS!$H$19:$H$27</definedName>
    <definedName name="ExclusoesModeloSelecionado">PARAMETROS!$D$143:$D$145</definedName>
    <definedName name="FasesProjetos">PARAMETROS!$F$19:$F$27</definedName>
    <definedName name="PapelEquipeSV">PARAMETROS!$K$14</definedName>
    <definedName name="SituacoesInstanciasRH">PARAMETROS!$A$96:$A$101</definedName>
    <definedName name="ModeloSV">PARAMETROS!$C$67:$D$79</definedName>
    <definedName name="AssociacaoAgenteSOFTEX">PARAMETROS!$A$41:$A$42</definedName>
    <definedName name="ProcessosModeloSV">PARAMETROS!$D$67:$D$78</definedName>
    <definedName name="GestorInstanciasSV">PARAMETROS!$H$14</definedName>
    <definedName name="ExclusoesModeloRH">PARAMETROS!$C$137:$D$139</definedName>
    <definedName name="NomesProjetos">PROJETOS!$A$5:$A$35</definedName>
    <definedName name="FaixaReceitaOperacional">PARAMETROS!$A$28:$A$32</definedName>
    <definedName name="SiglasUF">PARAMETROS!$A$49:$A$75</definedName>
    <definedName name="NomesInstanciasSelecionadas">PARAMETROS!$F$125:$F$177</definedName>
    <definedName name="ImportanciaOrganizacao">PARAMETROS!$I$19:$I$27</definedName>
    <definedName name="SituacoesInstanciasSW">PARAMETROS!$A$78:$A$85</definedName>
    <definedName name="LocalUO1">DADOS_EMPRESA!$B$8</definedName>
    <definedName name="PapelEquipeSW">PARAMETROS!$K$13</definedName>
    <definedName name="GestorInstanciasSW">PARAMETROS!$H$13</definedName>
    <definedName name="InstanciaEquipeRH">PARAMETROS!$J$15</definedName>
    <definedName name="PapelEquipeRH">PARAMETROS!$K$15</definedName>
    <definedName name="InstanciaEquipeSW">PARAMETROS!$J$13</definedName>
    <definedName name="ColunaSelecaoRH">PARAMETROS!$L$15</definedName>
    <definedName name="DadosAreas">'ÁREAS'!$5:$35</definedName>
    <definedName name="ColunaNumParticipantesSV">PARAMETROS!$O$14</definedName>
    <definedName name="CNPJ2">DADOS_EMPRESA!$B$12</definedName>
    <definedName name="InstanciasSV">PARAMETROS!$F$14</definedName>
    <definedName name="TaxaSoftexAssociado">PARAMETROS!$F$3:$F$9</definedName>
    <definedName name="SelecaoEntrevista">PARAMETROS!$D$30:$D$31</definedName>
    <definedName name="ProcessosSW">PARAMETROS!$E$13</definedName>
    <definedName name="RazaoSocial">DADOS_EMPRESA!$B$3</definedName>
    <definedName name="TipoProjeto">PARAMETROS!$D$19:$D$27</definedName>
    <definedName name="ColunaGerenteSV">PARAMETROS!$N$14</definedName>
    <definedName name="InstanciasAvaliacao">PLANO!$A$17:$A$26</definedName>
    <definedName name="VersoesModelosMPS">PARAMETROS!$A$3:$A$9</definedName>
    <definedName name="ColunaSelecaoSW">PARAMETROS!$L$13</definedName>
    <definedName name="SelecaoAvaliacao">PARAMETROS!$J$19:$J$27</definedName>
    <definedName name="ProcessosModeloAvaliado">PARAMETROS!$D$104:$D$121</definedName>
    <definedName name="ParticipacaoProjetoSOFTEX">PARAMETROS!$A$45:$A$46</definedName>
    <definedName name="AbaInstanciaRH">PARAMETROS!$E$21</definedName>
    <definedName name="MetodoAvaliacao">DADOS_AVAL!$B$11:$E$11</definedName>
    <definedName name="EnderecoUO2">DADOS_EMPRESA!$B$13</definedName>
    <definedName name="ColunaInstanciaSV">PARAMETROS!$M$14</definedName>
    <definedName name="SituacoesInstanciasModeloSelecionado">PARAMETROS!$A$104:$A$111</definedName>
    <definedName name="ModeloRH">PARAMETROS!$C$83:$D$100</definedName>
    <definedName name="DadosServiços">'SERVIÇOS'!$5:$35</definedName>
    <definedName name="ColunaSituacaoRH">PARAMETROS!$P$15</definedName>
    <definedName name="ColunaSituacaoSW">PARAMETROS!$P$13</definedName>
    <definedName name="ColunaGerenteRH">PARAMETROS!$N$15</definedName>
    <definedName name="NomePatrocinador">DADOS_EMPRESA!$B$26</definedName>
    <definedName name="ModeloSW">PARAMETROS!$C$51:$D$63</definedName>
    <definedName name="ExclusoesModeloSV">PARAMETROS!$C$131:$D$133</definedName>
    <definedName name="EstadoUnidadeOrganizacional">DADOS_EMPRESA!$B$6</definedName>
    <definedName name="ResultadoItemAuditoria">PARAMETROS!$H$31:$H$33</definedName>
    <definedName name="PorteEmpresa">PARAMETROS!$A$35:$A$38</definedName>
    <definedName name="ColunaInstanciaRH">PARAMETROS!$M$15</definedName>
    <definedName name="ExclusoesModeloSW">PARAMETROS!$C$125:$D$127</definedName>
    <definedName name="NiveisMPS">PARAMETROS!$D$3:$D$9</definedName>
    <definedName name="FormatoAvaliacao">PARAMETROS!$A$19:$A$20</definedName>
    <definedName name="ReferenciaInstanciaSV">PARAMETROS!$G$14</definedName>
    <definedName name="ColunaGerenteSW">PARAMETROS!$N$13</definedName>
    <definedName name="LocalUO3">DADOS_EMPRESA!$B$14</definedName>
    <definedName name="VersoesGuiaAvaliacao">PARAMETROS!$A$12:$A$16</definedName>
    <definedName name="CargoPatrocinador">DADOS_EMPRESA!$B$30</definedName>
    <definedName name="CNPJ1">DADOS_EMPRESA!$B$9</definedName>
    <definedName name="TaxaSoftexNaoAssociado">PARAMETROS!$E$3:$E$9</definedName>
    <definedName name="ReferenciaInstanciaRH">PARAMETROS!$G$15</definedName>
    <definedName name="InstanciasRH">PARAMETROS!$F$15</definedName>
    <definedName name="ResultadoAuditoria">PARAMETROS!$F$31:$F$33</definedName>
    <definedName name="InstanciasSelecionadas">PARAMETROS!$F$125:$I$177</definedName>
    <definedName name="StatusInstanciasRH">PARAMETROS!$I$15</definedName>
    <definedName name="StatusInstanciasSW">PARAMETROS!$I$13</definedName>
    <definedName name="CNPJ3">DADOS_EMPRESA!$B$15</definedName>
    <definedName name="ColunaInstanciaSW">PARAMETROS!$M$13</definedName>
    <definedName name="ProcessosModeloSW">PARAMETROS!$D$51:$D$62</definedName>
    <definedName name="ProcessosRH">PARAMETROS!$E$15</definedName>
    <definedName name="ColunaNumParticipantesSW">PARAMETROS!$O$13</definedName>
    <definedName name="GestorInstanciasRH">PARAMETROS!$H$15</definedName>
    <definedName name="DescricaoAtividadesUO">DADOS_EMPRESA!$B$18</definedName>
    <definedName name="ModeloAvaliado">DADOS_AVAL!$B$9</definedName>
    <definedName name="ColunaSituacaoSV">PARAMETROS!$P$14</definedName>
    <definedName name="ProcessosSV">PARAMETROS!$E$14</definedName>
    <definedName name="TipoCliente">PARAMETROS!$E$19:$E$27</definedName>
    <definedName name="LocalUO2">DADOS_EMPRESA!$B$11</definedName>
    <definedName name="TipoCursoIntroducao">PARAMETROS!$A$23:$A$25</definedName>
    <definedName name="TaxasSOFTEX">PARAMETROS!$D$3:$F$9</definedName>
    <definedName name="InstanciasSW">PARAMETROS!$F$13</definedName>
    <definedName name="ColunaSelecaoSV">PARAMETROS!$L$14</definedName>
    <definedName name="NomeUnidadeOrganizacional">DADOS_EMPRESA!$B$7</definedName>
    <definedName name="ColunaNumParticipantesRH">PARAMETROS!$O$15</definedName>
    <definedName name="EnderecoUO1">DADOS_EMPRESA!$B$10</definedName>
    <definedName name="FILTRAR_NAOSEAPLICA">LAMBDA(range, UNIQUE(filter(range,(range &lt;&gt; index(VariacoesNaoSeAplica,1,1)),(range &lt;&gt; index(VariacoesNaoSeAplica,2,1)),(range &lt;&gt; index(VariacoesNaoSeAplica,3,1)),(range &lt;&gt; index(VariacoesNaoSeAplica,4,1)),(range &lt;&gt; index(VariacoesNaoSeAplica,5,1)),(range &lt;&gt; index(VariacoesNaoSeAplica,6,1)),(range &lt;&gt; index(VariacoesNaoSeAplica,7,1))),false,false))</definedName>
    <definedName name="ENDERECOS_UO">LAMBDA(if(LocalUO1&lt;&gt;"",LocalUO1 &amp; ": ","") &amp; EnderecoUO1 &amp; if(EnderecoUO2&lt;&gt;"",", " &amp; LocalUO2 &amp; ": " &amp; EnderecoUO2,"") &amp; if(EnderecoUO3&lt;&gt;"",", " &amp; LocalUO3 &amp; ": " &amp; EnderecoUO3,""))</definedName>
    <definedName name="CNPJS_UO">LAMBDA(if(LocalUO1&lt;&gt;"",LocalUO1 &amp; ": ","") &amp; CNPJ1 &amp; if(CNPJ2&lt;&gt;"",", " &amp; LocalUO2 &amp; ": " &amp; CNPJ2,"") &amp; if(CNPJ3&lt;&gt;"",", " &amp; LocalUO3 &amp; ": " &amp; CNPJ3,""))</definedName>
    <definedName name="SIGLA_MODELO">LAMBDA(mid(ModeloAvaliado,5,2))</definedName>
    <definedName name="_xlnm._FilterDatabase" localSheetId="2" hidden="1">'PROJETOS'!$A$4:$L$35</definedName>
    <definedName name="_xlnm._FilterDatabase" localSheetId="3" hidden="1">'SERVIÇOS'!$A$4:$L$35</definedName>
    <definedName name="Z_1C197725_40CE_4C17_AB90_816D9A765D1C_.wvu.FilterData" localSheetId="4" hidden="1">'ÁREAS'!$A$4:$G$35</definedName>
    <definedName name="Z_4AC264DC_8AC2_4F2B_BC04_86DD5EC2B740_.wvu.FilterData" localSheetId="4" hidden="1">'ÁREAS'!$A$4:$G$4</definedName>
    <definedName name="_xlnm._FilterDatabase" localSheetId="4" hidden="1">'ÁREAS'!$A$4:$G$4</definedName>
    <definedName name="_xlnm._FilterDatabase" localSheetId="7" hidden="1">'EQUIPE'!$A$3:$F$500</definedName>
    <definedName name="_xlnm._FilterDatabase" localSheetId="8" hidden="1">'EQUIPE_ORG'!$A$3:$F$102</definedName>
  </definedNames>
  <calcPr calcId="124519" fullCalcOnLoad="1"/>
</workbook>
</file>

<file path=xl/styles.xml><?xml version="1.0" encoding="utf-8"?>
<styleSheet xmlns="http://schemas.openxmlformats.org/spreadsheetml/2006/main">
  <numFmts count="7">
    <numFmt numFmtId="164" formatCode="dd/MM/yyyy"/>
    <numFmt numFmtId="165" formatCode="d/m/yyyy"/>
    <numFmt numFmtId="166" formatCode="d&quot; de &quot;mmmm&quot; de &quot;yyyy"/>
    <numFmt numFmtId="167" formatCode="[$R$ -416]#,##0.00"/>
    <numFmt numFmtId="168" formatCode="hh:mm"/>
    <numFmt numFmtId="169" formatCode="dd/mm/yyyy"/>
    <numFmt numFmtId="170" formatCode="dd/MM/yyyy HH:mm:ss"/>
  </numFmts>
  <fonts count="41">
    <font>
      <name val="Arial"/>
      <color rgb="FF000000"/>
      <sz val="10"/>
    </font>
    <font>
      <b val="1"/>
      <sz val="14"/>
    </font>
    <font>
      <name val="&quot;Arial&quot;"/>
      <sz val="10"/>
    </font>
    <font>
      <name val="Arial"/>
      <sz val="10"/>
    </font>
    <font>
      <name val="Cambria"/>
      <sz val="10"/>
    </font>
    <font>
      <sz val="10"/>
    </font>
    <font>
      <name val="&quot;Arial&quot;"/>
      <b val="1"/>
      <sz val="10"/>
    </font>
    <font/>
    <font>
      <b val="1"/>
    </font>
    <font>
      <name val="Arial"/>
      <color rgb="FF000000"/>
    </font>
    <font>
      <name val="Arial"/>
    </font>
    <font>
      <name val="&quot;Arial&quot;"/>
      <b val="1"/>
      <sz val="9"/>
    </font>
    <font>
      <name val="&quot;Arial&quot;"/>
    </font>
    <font>
      <name val="&quot;Arial&quot;"/>
      <sz val="9"/>
    </font>
    <font>
      <name val="Arial"/>
      <b val="1"/>
    </font>
    <font>
      <name val="Arial"/>
      <b val="1"/>
      <sz val="12"/>
    </font>
    <font>
      <name val="Arial"/>
      <b val="1"/>
      <sz val="14"/>
    </font>
    <font>
      <name val="Arial"/>
      <i val="1"/>
      <sz val="9"/>
    </font>
    <font>
      <name val="Arial"/>
      <b val="1"/>
      <color rgb="FF000000"/>
    </font>
    <font>
      <color rgb="FF000000"/>
    </font>
    <font>
      <name val="Arial"/>
      <b val="1"/>
      <color rgb="FF000000"/>
      <sz val="12"/>
    </font>
    <font>
      <name val="Arial"/>
      <sz val="11"/>
    </font>
    <font>
      <name val="Arial"/>
      <color rgb="FF000000"/>
      <sz val="11"/>
    </font>
    <font>
      <name val="Arial"/>
      <color rgb="FF222222"/>
    </font>
    <font>
      <name val="Arial"/>
      <b val="1"/>
      <color rgb="FFFF0000"/>
    </font>
    <font>
      <b val="1"/>
      <sz val="11"/>
    </font>
    <font>
      <name val="Arial"/>
      <color rgb="FF222222"/>
      <sz val="11"/>
    </font>
    <font>
      <name val="Calibri"/>
      <color rgb="FF222222"/>
      <sz val="11"/>
    </font>
    <font>
      <name val="Arial"/>
      <color rgb="FF222222"/>
      <sz val="10"/>
    </font>
    <font>
      <name val="Arial"/>
      <b val="1"/>
      <color rgb="FF000000"/>
      <sz val="14"/>
    </font>
    <font>
      <name val="Arial"/>
      <b val="1"/>
      <sz val="11"/>
    </font>
    <font>
      <name val="Arial"/>
      <b val="1"/>
      <sz val="10"/>
    </font>
    <font>
      <name val="Arial"/>
      <color rgb="FF0033CC"/>
    </font>
    <font>
      <b val="1"/>
      <color rgb="FFFF0000"/>
    </font>
    <font>
      <name val="Arial"/>
      <color rgb="FF000000"/>
      <sz val="8"/>
    </font>
    <font>
      <name val="Arial"/>
      <sz val="9"/>
    </font>
    <font>
      <name val="Arial"/>
      <color rgb="FF000000"/>
      <sz val="9"/>
    </font>
    <font>
      <name val="Calibri"/>
      <sz val="11"/>
    </font>
    <font>
      <name val="Arial"/>
      <color rgb="FF0000FF"/>
      <u val="single"/>
    </font>
    <font>
      <b val="1"/>
      <color rgb="FF000000"/>
    </font>
    <font>
      <name val="&quot;Arial&quot;"/>
      <color rgb="FF000000"/>
    </font>
  </fonts>
  <fills count="9">
    <fill>
      <patternFill/>
    </fill>
    <fill>
      <patternFill patternType="lightGray"/>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
      <patternFill patternType="solid">
        <fgColor rgb="FFB7B7B7"/>
        <bgColor rgb="FFB7B7B7"/>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numFmtId="0" fontId="0" fillId="0" borderId="0"/>
  </cellStyleXfs>
  <cellXfs count="4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2" fillId="3" borderId="0" applyAlignment="1" pivotButton="0" quotePrefix="0" xfId="0">
      <alignment vertical="center" wrapText="1"/>
    </xf>
    <xf numFmtId="0" fontId="2" fillId="4" borderId="1" applyAlignment="1" pivotButton="0" quotePrefix="0" xfId="0">
      <alignment vertical="center" wrapText="1"/>
    </xf>
    <xf numFmtId="0" fontId="3" fillId="3" borderId="1" applyAlignment="1" pivotButton="0" quotePrefix="0" xfId="0">
      <alignment vertical="center" wrapText="1"/>
    </xf>
    <xf numFmtId="0" fontId="4" fillId="3" borderId="1" applyAlignment="1" pivotButton="0" quotePrefix="0" xfId="0">
      <alignment horizontal="left" vertical="center" wrapText="1"/>
    </xf>
    <xf numFmtId="0" fontId="2" fillId="3" borderId="1" applyAlignment="1" pivotButton="0" quotePrefix="0" xfId="0">
      <alignment vertical="center" wrapText="1"/>
    </xf>
    <xf numFmtId="0" fontId="2" fillId="4" borderId="1" applyAlignment="1" pivotButton="0" quotePrefix="0" xfId="0">
      <alignment horizontal="right" vertical="center" wrapText="1"/>
    </xf>
    <xf numFmtId="49" fontId="2" fillId="3"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3" fillId="0" borderId="1" applyAlignment="1" pivotButton="0" quotePrefix="0" xfId="0">
      <alignment vertical="center" wrapText="1"/>
    </xf>
    <xf numFmtId="0" fontId="0" fillId="3" borderId="1" applyAlignment="1" pivotButton="0" quotePrefix="0" xfId="0">
      <alignment horizontal="lef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wrapText="1"/>
    </xf>
    <xf numFmtId="0" fontId="6" fillId="5" borderId="2" applyAlignment="1" pivotButton="0" quotePrefix="0" xfId="0">
      <alignment horizontal="center" vertical="center" wrapText="1"/>
    </xf>
    <xf numFmtId="0" fontId="7" fillId="0" borderId="3" pivotButton="0" quotePrefix="0" xfId="0"/>
    <xf numFmtId="0" fontId="5"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vertical="center" wrapText="1"/>
    </xf>
    <xf numFmtId="0" fontId="1" fillId="5" borderId="4" applyAlignment="1" pivotButton="0" quotePrefix="0" xfId="0">
      <alignment horizontal="center" vertical="center" wrapText="1"/>
    </xf>
    <xf numFmtId="0" fontId="7" fillId="0" borderId="5" pivotButton="0" quotePrefix="0" xfId="0"/>
    <xf numFmtId="0" fontId="7" fillId="0" borderId="6" pivotButton="0" quotePrefix="0" xfId="0"/>
    <xf numFmtId="0" fontId="8" fillId="0" borderId="7" applyAlignment="1" pivotButton="0" quotePrefix="0" xfId="0">
      <alignment vertical="center" wrapText="1"/>
    </xf>
    <xf numFmtId="0" fontId="8" fillId="0" borderId="0" applyAlignment="1" pivotButton="0" quotePrefix="0" xfId="0">
      <alignment vertical="center" wrapText="1"/>
    </xf>
    <xf numFmtId="0" fontId="7" fillId="0" borderId="0" applyAlignment="1" pivotButton="0" quotePrefix="0" xfId="0">
      <alignment vertical="center" wrapText="1"/>
    </xf>
    <xf numFmtId="0" fontId="7" fillId="0" borderId="8" applyAlignment="1" pivotButton="0" quotePrefix="0" xfId="0">
      <alignment vertical="center" wrapText="1"/>
    </xf>
    <xf numFmtId="0" fontId="8" fillId="5" borderId="2" applyAlignment="1" pivotButton="0" quotePrefix="0" xfId="0">
      <alignment horizontal="center" vertical="center" wrapText="1"/>
    </xf>
    <xf numFmtId="0" fontId="7" fillId="0" borderId="9" pivotButton="0" quotePrefix="0" xfId="0"/>
    <xf numFmtId="0" fontId="7" fillId="4" borderId="2" applyAlignment="1" pivotButton="0" quotePrefix="0" xfId="0">
      <alignment vertical="center" wrapText="1"/>
    </xf>
    <xf numFmtId="0" fontId="7" fillId="3" borderId="1" applyAlignment="1" pivotButton="0" quotePrefix="0" xfId="0">
      <alignment vertical="center" wrapText="1"/>
    </xf>
    <xf numFmtId="0" fontId="7" fillId="4" borderId="1" applyAlignment="1" pivotButton="0" quotePrefix="0" xfId="0">
      <alignment vertical="center" wrapText="1"/>
    </xf>
    <xf numFmtId="164" fontId="7" fillId="3" borderId="1" applyAlignment="1" pivotButton="0" quotePrefix="0" xfId="0">
      <alignment horizontal="left" vertical="center" wrapText="1"/>
    </xf>
    <xf numFmtId="165" fontId="7" fillId="3" borderId="1" applyAlignment="1" pivotButton="0" quotePrefix="0" xfId="0">
      <alignment horizontal="center" vertical="center" wrapText="1"/>
    </xf>
    <xf numFmtId="0" fontId="7" fillId="3" borderId="2" applyAlignment="1" pivotButton="0" quotePrefix="0" xfId="0">
      <alignment vertical="center" wrapText="1"/>
    </xf>
    <xf numFmtId="0" fontId="9" fillId="3" borderId="2" applyAlignment="1" pivotButton="0" quotePrefix="0" xfId="0">
      <alignment horizontal="left" vertical="center" wrapText="1"/>
    </xf>
    <xf numFmtId="166" fontId="10" fillId="0" borderId="2" applyAlignment="1" pivotButton="0" quotePrefix="0" xfId="0">
      <alignment horizontal="center" wrapText="1"/>
    </xf>
    <xf numFmtId="166" fontId="10" fillId="0" borderId="1" applyAlignment="1" pivotButton="0" quotePrefix="0" xfId="0">
      <alignment horizontal="center" wrapText="1"/>
    </xf>
    <xf numFmtId="0" fontId="9" fillId="3" borderId="1" applyAlignment="1" pivotButton="0" quotePrefix="0" xfId="0">
      <alignment horizontal="left" vertical="center" wrapText="1"/>
    </xf>
    <xf numFmtId="0" fontId="5" fillId="3" borderId="2" applyAlignment="1" pivotButton="0" quotePrefix="0" xfId="0">
      <alignment vertical="center" wrapText="1"/>
    </xf>
    <xf numFmtId="0" fontId="2" fillId="3" borderId="2" applyAlignment="1" pivotButton="0" quotePrefix="0" xfId="0">
      <alignment vertical="center" wrapText="1"/>
    </xf>
    <xf numFmtId="0" fontId="7" fillId="3" borderId="3" applyAlignment="1" pivotButton="0" quotePrefix="0" xfId="0">
      <alignment vertical="center" wrapText="1"/>
    </xf>
    <xf numFmtId="0" fontId="11" fillId="4" borderId="1" applyAlignment="1" pivotButton="0" quotePrefix="0" xfId="0">
      <alignment horizontal="center" vertical="center" wrapText="1"/>
    </xf>
    <xf numFmtId="0" fontId="7" fillId="0" borderId="1" applyAlignment="1" pivotButton="0" quotePrefix="0" xfId="0">
      <alignment vertical="center" wrapText="1"/>
    </xf>
    <xf numFmtId="0" fontId="12" fillId="3" borderId="1" applyAlignment="1" pivotButton="0" quotePrefix="0" xfId="0">
      <alignment horizontal="center" vertical="center" wrapText="1"/>
    </xf>
    <xf numFmtId="164" fontId="12" fillId="3" borderId="1" applyAlignment="1" pivotButton="0" quotePrefix="0" xfId="0">
      <alignment horizontal="center" vertical="center" wrapText="1"/>
    </xf>
    <xf numFmtId="0" fontId="13" fillId="3" borderId="10" applyAlignment="1" pivotButton="0" quotePrefix="0" xfId="0">
      <alignment vertical="center" wrapText="1"/>
    </xf>
    <xf numFmtId="0" fontId="14" fillId="2" borderId="2" applyAlignment="1" pivotButton="0" quotePrefix="0" xfId="0">
      <alignment horizontal="center" vertical="center"/>
    </xf>
    <xf numFmtId="0" fontId="10" fillId="0" borderId="10" applyAlignment="1" pivotButton="0" quotePrefix="0" xfId="0">
      <alignment vertical="center"/>
    </xf>
    <xf numFmtId="0" fontId="7" fillId="0" borderId="11" pivotButton="0" quotePrefix="0" xfId="0"/>
    <xf numFmtId="0" fontId="7" fillId="3" borderId="2" applyAlignment="1" pivotButton="0" quotePrefix="0" xfId="0">
      <alignment horizontal="center" vertical="center" wrapText="1"/>
    </xf>
    <xf numFmtId="0" fontId="10" fillId="0" borderId="10" applyAlignment="1" pivotButton="0" quotePrefix="0" xfId="0">
      <alignment vertical="center"/>
    </xf>
    <xf numFmtId="167" fontId="10" fillId="4" borderId="11" applyAlignment="1" pivotButton="0" quotePrefix="0" xfId="0">
      <alignment horizontal="center" vertical="center"/>
    </xf>
    <xf numFmtId="0" fontId="10" fillId="3" borderId="11" applyAlignment="1" pivotButton="0" quotePrefix="0" xfId="0">
      <alignment vertical="center"/>
    </xf>
    <xf numFmtId="167" fontId="14" fillId="6" borderId="8" applyAlignment="1" pivotButton="0" quotePrefix="0" xfId="0">
      <alignment horizontal="center" vertical="center" wrapText="1"/>
    </xf>
    <xf numFmtId="0" fontId="10" fillId="0" borderId="2" applyAlignment="1" pivotButton="0" quotePrefix="0" xfId="0">
      <alignment vertical="center"/>
    </xf>
    <xf numFmtId="0" fontId="10" fillId="4" borderId="1" applyAlignment="1" pivotButton="0" quotePrefix="0" xfId="0">
      <alignment horizontal="center" vertical="center"/>
    </xf>
    <xf numFmtId="0" fontId="14" fillId="3" borderId="0" applyAlignment="1" pivotButton="0" quotePrefix="0" xfId="0">
      <alignment vertical="center" wrapText="1"/>
    </xf>
    <xf numFmtId="167" fontId="10" fillId="3" borderId="0" applyAlignment="1" pivotButton="0" quotePrefix="0" xfId="0">
      <alignment vertical="center"/>
    </xf>
    <xf numFmtId="0" fontId="14" fillId="3" borderId="1" applyAlignment="1" pivotButton="0" quotePrefix="0" xfId="0">
      <alignment vertical="center" wrapText="1"/>
    </xf>
    <xf numFmtId="167" fontId="15" fillId="3" borderId="11" applyAlignment="1" pivotButton="0" quotePrefix="0" xfId="0">
      <alignment horizontal="right" vertical="center"/>
    </xf>
    <xf numFmtId="0" fontId="16" fillId="5" borderId="0" applyAlignment="1" pivotButton="0" quotePrefix="0" xfId="0">
      <alignment horizontal="left" vertical="center" wrapText="1"/>
    </xf>
    <xf numFmtId="0" fontId="17" fillId="5" borderId="0" applyAlignment="1" pivotButton="0" quotePrefix="0" xfId="0">
      <alignment horizontal="left" vertical="center"/>
    </xf>
    <xf numFmtId="0" fontId="0" fillId="4" borderId="2" applyAlignment="1" pivotButton="0" quotePrefix="0" xfId="0">
      <alignment horizontal="left" vertical="center" wrapText="1"/>
    </xf>
    <xf numFmtId="0" fontId="3" fillId="3" borderId="1"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8" applyAlignment="1" pivotButton="0" quotePrefix="0" xfId="0">
      <alignment horizontal="center" vertical="center" wrapText="1"/>
    </xf>
    <xf numFmtId="0" fontId="14" fillId="5" borderId="1" applyAlignment="1" pivotButton="0" quotePrefix="0" xfId="0">
      <alignment horizontal="center" vertical="center" wrapText="1"/>
    </xf>
    <xf numFmtId="0" fontId="18" fillId="5" borderId="1" applyAlignment="1" pivotButton="0" quotePrefix="0" xfId="0">
      <alignment horizontal="center" vertical="center" wrapText="1"/>
    </xf>
    <xf numFmtId="0" fontId="10" fillId="3" borderId="1" applyAlignment="1" pivotButton="0" quotePrefix="0" xfId="0">
      <alignment horizontal="left" vertical="center" wrapText="1"/>
    </xf>
    <xf numFmtId="0" fontId="10" fillId="3" borderId="1" applyAlignment="1" pivotButton="0" quotePrefix="0" xfId="0">
      <alignment horizontal="center" vertical="center" wrapText="1"/>
    </xf>
    <xf numFmtId="164" fontId="10" fillId="3" borderId="1" applyAlignment="1" pivotButton="0" quotePrefix="0" xfId="0">
      <alignment horizontal="center" vertical="center" wrapText="1"/>
    </xf>
    <xf numFmtId="0" fontId="0" fillId="4" borderId="2" applyAlignment="1" pivotButton="0" quotePrefix="0" xfId="0">
      <alignment horizontal="left" vertical="center"/>
    </xf>
    <xf numFmtId="0" fontId="9" fillId="0" borderId="0" applyAlignment="1" pivotButton="0" quotePrefix="0" xfId="0">
      <alignment horizontal="center" vertical="center" wrapText="1"/>
    </xf>
    <xf numFmtId="0" fontId="9" fillId="0" borderId="8" applyAlignment="1" pivotButton="0" quotePrefix="0" xfId="0">
      <alignment horizontal="center" vertical="center" wrapText="1"/>
    </xf>
    <xf numFmtId="0" fontId="14" fillId="5" borderId="1" applyAlignment="1" pivotButton="0" quotePrefix="0" xfId="0">
      <alignment horizontal="center" vertical="center" wrapText="1"/>
    </xf>
    <xf numFmtId="0" fontId="9" fillId="3" borderId="1" applyAlignment="1" pivotButton="0" quotePrefix="0" xfId="0">
      <alignment horizontal="center" vertical="center" wrapText="1"/>
    </xf>
    <xf numFmtId="0" fontId="1" fillId="5" borderId="0" applyAlignment="1" pivotButton="0" quotePrefix="0" xfId="0">
      <alignment horizontal="center" vertical="center" wrapText="1"/>
    </xf>
    <xf numFmtId="0" fontId="8" fillId="4" borderId="1" applyAlignment="1" pivotButton="0" quotePrefix="0" xfId="0">
      <alignment horizontal="center" vertical="center" wrapText="1"/>
    </xf>
    <xf numFmtId="0" fontId="8" fillId="4" borderId="2" applyAlignment="1" pivotButton="0" quotePrefix="0" xfId="0">
      <alignment horizontal="center" vertical="center" wrapText="1"/>
    </xf>
    <xf numFmtId="0" fontId="19" fillId="3" borderId="1" applyAlignment="1" pivotButton="0" quotePrefix="0" xfId="0">
      <alignment horizontal="left" vertical="center" wrapText="1"/>
    </xf>
    <xf numFmtId="0" fontId="19" fillId="3" borderId="2" applyAlignment="1" pivotButton="0" quotePrefix="0" xfId="0">
      <alignment horizontal="left" vertical="center" wrapText="1"/>
    </xf>
    <xf numFmtId="0" fontId="8" fillId="5" borderId="4" applyAlignment="1" pivotButton="0" quotePrefix="0" xfId="0">
      <alignment horizontal="center" vertical="center" wrapText="1"/>
    </xf>
    <xf numFmtId="0" fontId="7" fillId="0" borderId="2" applyAlignment="1" pivotButton="0" quotePrefix="0" xfId="0">
      <alignment vertical="center" wrapText="1"/>
    </xf>
    <xf numFmtId="0" fontId="7" fillId="0" borderId="1" applyAlignment="1" pivotButton="0" quotePrefix="0" xfId="0">
      <alignment horizontal="center" vertical="center" wrapText="1"/>
    </xf>
    <xf numFmtId="0" fontId="7" fillId="7" borderId="1" applyAlignment="1" pivotButton="0" quotePrefix="0" xfId="0">
      <alignment vertical="center" wrapText="1"/>
    </xf>
    <xf numFmtId="166" fontId="10" fillId="3" borderId="1" applyAlignment="1" pivotButton="0" quotePrefix="0" xfId="0">
      <alignment horizontal="center" wrapText="1"/>
    </xf>
    <xf numFmtId="0" fontId="7" fillId="7" borderId="1" applyAlignment="1" pivotButton="0" quotePrefix="0" xfId="0">
      <alignment horizontal="center" vertical="center" wrapText="1"/>
    </xf>
    <xf numFmtId="0" fontId="7" fillId="0" borderId="2" applyAlignment="1" pivotButton="0" quotePrefix="0" xfId="0">
      <alignment horizontal="center" vertical="center" wrapText="1"/>
    </xf>
    <xf numFmtId="0" fontId="7" fillId="3" borderId="1" applyAlignment="1" pivotButton="0" quotePrefix="0" xfId="0">
      <alignment horizontal="left" vertical="center" wrapText="1"/>
    </xf>
    <xf numFmtId="164"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1" fillId="3" borderId="0" applyAlignment="1" pivotButton="0" quotePrefix="0" xfId="0">
      <alignment horizontal="center" vertical="center" wrapText="1"/>
    </xf>
    <xf numFmtId="0" fontId="7" fillId="0" borderId="0" applyAlignment="1" pivotButton="0" quotePrefix="0" xfId="0">
      <alignment vertical="center"/>
    </xf>
    <xf numFmtId="0" fontId="20" fillId="3" borderId="0" applyAlignment="1" pivotButton="0" quotePrefix="0" xfId="0">
      <alignment horizontal="center" vertical="center"/>
    </xf>
    <xf numFmtId="0" fontId="21" fillId="0" borderId="0" applyAlignment="1" pivotButton="0" quotePrefix="0" xfId="0">
      <alignment horizontal="left" vertical="center" wrapText="1"/>
    </xf>
    <xf numFmtId="0" fontId="22" fillId="3" borderId="0" applyAlignment="1" pivotButton="0" quotePrefix="0" xfId="0">
      <alignment horizontal="left" vertical="center" wrapText="1"/>
    </xf>
    <xf numFmtId="0" fontId="21" fillId="0" borderId="0" applyAlignment="1" pivotButton="0" quotePrefix="0" xfId="0">
      <alignment horizontal="left" vertical="center" wrapText="1"/>
    </xf>
    <xf numFmtId="0" fontId="23" fillId="3"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wrapText="1"/>
    </xf>
    <xf numFmtId="0" fontId="9" fillId="3" borderId="0" applyAlignment="1" pivotButton="0" quotePrefix="0" xfId="0">
      <alignment vertical="center"/>
    </xf>
    <xf numFmtId="0" fontId="10" fillId="0" borderId="0" applyAlignment="1" pivotButton="0" quotePrefix="0" xfId="0">
      <alignment vertical="center"/>
    </xf>
    <xf numFmtId="0" fontId="18" fillId="3" borderId="0" applyAlignment="1" pivotButton="0" quotePrefix="0" xfId="0">
      <alignment horizontal="left" vertical="center"/>
    </xf>
    <xf numFmtId="0" fontId="24" fillId="3" borderId="0" applyAlignment="1" pivotButton="0" quotePrefix="0" xfId="0">
      <alignment horizontal="left" vertical="center" wrapText="1"/>
    </xf>
    <xf numFmtId="0" fontId="9" fillId="3" borderId="0" applyAlignment="1" pivotButton="0" quotePrefix="0" xfId="0">
      <alignment horizontal="left" vertical="center"/>
    </xf>
    <xf numFmtId="0" fontId="9" fillId="3" borderId="0" applyAlignment="1" pivotButton="0" quotePrefix="0" xfId="0">
      <alignment horizontal="left" vertical="center"/>
    </xf>
    <xf numFmtId="0" fontId="7" fillId="0" borderId="0" applyAlignment="1" pivotButton="0" quotePrefix="0" xfId="0">
      <alignment horizontal="center" vertical="center" wrapText="1"/>
    </xf>
    <xf numFmtId="0" fontId="25" fillId="5" borderId="1" applyAlignment="1" pivotButton="0" quotePrefix="0" xfId="0">
      <alignment horizontal="center" vertical="center" wrapText="1"/>
    </xf>
    <xf numFmtId="0" fontId="25" fillId="5" borderId="1" applyAlignment="1" pivotButton="0" quotePrefix="0" xfId="0">
      <alignment horizontal="left" vertical="center" wrapText="1"/>
    </xf>
    <xf numFmtId="0" fontId="10" fillId="0" borderId="0" applyAlignment="1" pivotButton="0" quotePrefix="0" xfId="0">
      <alignment wrapText="1"/>
    </xf>
    <xf numFmtId="0" fontId="10" fillId="0" borderId="0" applyAlignment="1" pivotButton="0" quotePrefix="0" xfId="0">
      <alignment wrapText="1"/>
    </xf>
    <xf numFmtId="0" fontId="10" fillId="0" borderId="0" pivotButton="0" quotePrefix="0" xfId="0"/>
    <xf numFmtId="0" fontId="10" fillId="0" borderId="0" applyAlignment="1" pivotButton="0" quotePrefix="0" xfId="0">
      <alignment horizontal="center" wrapText="1"/>
    </xf>
    <xf numFmtId="0" fontId="10" fillId="0" borderId="1" applyAlignment="1" pivotButton="0" quotePrefix="0" xfId="0">
      <alignment vertical="center" wrapText="1"/>
    </xf>
    <xf numFmtId="0" fontId="10" fillId="0" borderId="3" applyAlignment="1" pivotButton="0" quotePrefix="0" xfId="0">
      <alignment vertical="center" wrapText="1"/>
    </xf>
    <xf numFmtId="0" fontId="10" fillId="0" borderId="3" applyAlignment="1" pivotButton="0" quotePrefix="0" xfId="0">
      <alignment vertical="center" wrapText="1"/>
    </xf>
    <xf numFmtId="0" fontId="7" fillId="0" borderId="1" applyAlignment="1" pivotButton="0" quotePrefix="0" xfId="0">
      <alignment vertical="center" wrapText="1"/>
    </xf>
    <xf numFmtId="0" fontId="8" fillId="5" borderId="1" applyAlignment="1" pivotButton="0" quotePrefix="0" xfId="0">
      <alignment horizontal="center" vertical="center" wrapText="1"/>
    </xf>
    <xf numFmtId="166" fontId="8" fillId="5" borderId="2" applyAlignment="1" pivotButton="0" quotePrefix="0" xfId="0">
      <alignment horizontal="center" vertical="center" wrapText="1"/>
    </xf>
    <xf numFmtId="168" fontId="12" fillId="3" borderId="1" applyAlignment="1" pivotButton="0" quotePrefix="0" xfId="0">
      <alignment horizontal="center" vertical="center" wrapText="1"/>
    </xf>
    <xf numFmtId="168" fontId="12" fillId="8" borderId="1" applyAlignment="1" pivotButton="0" quotePrefix="0" xfId="0">
      <alignment horizontal="center" vertical="center" wrapText="1"/>
    </xf>
    <xf numFmtId="0" fontId="12" fillId="3" borderId="1" applyAlignment="1" pivotButton="0" quotePrefix="0" xfId="0">
      <alignment horizontal="center" vertical="center" wrapText="1"/>
    </xf>
    <xf numFmtId="168" fontId="7" fillId="3" borderId="1" applyAlignment="1" pivotButton="0" quotePrefix="0" xfId="0">
      <alignment horizontal="center" vertical="center" wrapText="1"/>
    </xf>
    <xf numFmtId="168" fontId="12" fillId="0" borderId="1" applyAlignment="1" pivotButton="0" quotePrefix="0" xfId="0">
      <alignment horizontal="center" vertical="center" wrapText="1"/>
    </xf>
    <xf numFmtId="168" fontId="7"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7" fillId="0" borderId="0" applyAlignment="1" pivotButton="0" quotePrefix="0" xfId="0">
      <alignment horizontal="center" vertical="center"/>
    </xf>
    <xf numFmtId="166" fontId="8" fillId="5" borderId="2" applyAlignment="1" pivotButton="0" quotePrefix="0" xfId="0">
      <alignment horizontal="center" vertical="center"/>
    </xf>
    <xf numFmtId="0" fontId="12" fillId="3" borderId="1" applyAlignment="1" pivotButton="0" quotePrefix="0" xfId="0">
      <alignment horizontal="left" vertical="center" wrapText="1"/>
    </xf>
    <xf numFmtId="0" fontId="19"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9" fillId="0" borderId="1" applyAlignment="1" pivotButton="0" quotePrefix="0" xfId="0">
      <alignment vertical="center"/>
    </xf>
    <xf numFmtId="164" fontId="8" fillId="5" borderId="2" applyAlignment="1" pivotButton="0" quotePrefix="0" xfId="0">
      <alignment horizontal="center" vertical="center"/>
    </xf>
    <xf numFmtId="0" fontId="9" fillId="0" borderId="3" applyAlignment="1" pivotButton="0" quotePrefix="0" xfId="0">
      <alignment horizontal="left" vertical="center" wrapText="1"/>
    </xf>
    <xf numFmtId="0" fontId="19" fillId="0" borderId="1" applyAlignment="1" pivotButton="0" quotePrefix="0" xfId="0">
      <alignment vertical="center"/>
    </xf>
    <xf numFmtId="0" fontId="10" fillId="0" borderId="1" applyAlignment="1" pivotButton="0" quotePrefix="0" xfId="0">
      <alignment horizontal="left" vertical="center" wrapText="1"/>
    </xf>
    <xf numFmtId="0" fontId="10" fillId="0" borderId="3" applyAlignment="1" pivotButton="0" quotePrefix="0" xfId="0">
      <alignment horizontal="left" vertical="center" wrapText="1"/>
    </xf>
    <xf numFmtId="0" fontId="10" fillId="0" borderId="12" applyAlignment="1" pivotButton="0" quotePrefix="0" xfId="0">
      <alignment horizontal="left" vertical="center" wrapText="1"/>
    </xf>
    <xf numFmtId="0" fontId="7" fillId="0" borderId="0" applyAlignment="1" pivotButton="0" quotePrefix="0" xfId="0">
      <alignment vertical="center" wrapText="1"/>
    </xf>
    <xf numFmtId="0" fontId="26" fillId="3" borderId="0" applyAlignment="1" pivotButton="0" quotePrefix="0" xfId="0">
      <alignment vertical="center" wrapText="1"/>
    </xf>
    <xf numFmtId="0" fontId="27" fillId="3" borderId="0" applyAlignment="1" pivotButton="0" quotePrefix="0" xfId="0">
      <alignment vertical="center" wrapText="1"/>
    </xf>
    <xf numFmtId="0" fontId="3" fillId="0" borderId="0" applyAlignment="1" pivotButton="0" quotePrefix="0" xfId="0">
      <alignment vertical="center" wrapText="1"/>
    </xf>
    <xf numFmtId="0" fontId="28" fillId="3" borderId="0" applyAlignment="1" pivotButton="0" quotePrefix="0" xfId="0">
      <alignment vertical="center" wrapText="1"/>
    </xf>
    <xf numFmtId="0" fontId="7" fillId="0" borderId="0" applyAlignment="1" pivotButton="0" quotePrefix="0" xfId="0">
      <alignment horizontal="left" vertical="center" wrapText="1"/>
    </xf>
    <xf numFmtId="169" fontId="7" fillId="0" borderId="0" applyAlignment="1" pivotButton="0" quotePrefix="0" xfId="0">
      <alignment vertical="center" wrapText="1"/>
    </xf>
    <xf numFmtId="0" fontId="7" fillId="0" borderId="0" applyAlignment="1" pivotButton="0" quotePrefix="0" xfId="0">
      <alignment horizontal="left" vertical="center" wrapText="1"/>
    </xf>
    <xf numFmtId="0" fontId="27" fillId="3" borderId="0" applyAlignment="1" pivotButton="0" quotePrefix="0" xfId="0">
      <alignment horizontal="left" vertical="center" wrapText="1"/>
    </xf>
    <xf numFmtId="0" fontId="27" fillId="3" borderId="0" applyAlignment="1" pivotButton="0" quotePrefix="0" xfId="0">
      <alignment horizontal="right" vertical="center" wrapText="1"/>
    </xf>
    <xf numFmtId="0" fontId="7" fillId="0" borderId="0" applyAlignment="1" pivotButton="0" quotePrefix="0" xfId="0">
      <alignment horizontal="right" vertical="center" wrapText="1"/>
    </xf>
    <xf numFmtId="0" fontId="16" fillId="3" borderId="0" applyAlignment="1" pivotButton="0" quotePrefix="0" xfId="0">
      <alignment horizontal="center" vertical="center" wrapText="1"/>
    </xf>
    <xf numFmtId="0" fontId="10" fillId="0" borderId="0" applyAlignment="1" pivotButton="0" quotePrefix="0" xfId="0">
      <alignment vertical="center" wrapText="1"/>
    </xf>
    <xf numFmtId="0" fontId="29" fillId="2" borderId="0" applyAlignment="1" pivotButton="0" quotePrefix="0" xfId="0">
      <alignment horizontal="center" vertical="center" wrapText="1"/>
    </xf>
    <xf numFmtId="0" fontId="10" fillId="3" borderId="0" applyAlignment="1" pivotButton="0" quotePrefix="0" xfId="0">
      <alignment vertical="center" wrapText="1"/>
    </xf>
    <xf numFmtId="0" fontId="10" fillId="0" borderId="0" applyAlignment="1" pivotButton="0" quotePrefix="0" xfId="0">
      <alignment vertical="center" wrapText="1"/>
    </xf>
    <xf numFmtId="0" fontId="10" fillId="3" borderId="1" applyAlignment="1" pivotButton="0" quotePrefix="0" xfId="0">
      <alignment vertical="center" wrapText="1"/>
    </xf>
    <xf numFmtId="0" fontId="10" fillId="3" borderId="2" applyAlignment="1" pivotButton="0" quotePrefix="0" xfId="0">
      <alignment vertical="center" wrapText="1"/>
    </xf>
    <xf numFmtId="0" fontId="10" fillId="3" borderId="1" applyAlignment="1" pivotButton="0" quotePrefix="0" xfId="0">
      <alignment vertical="center" wrapText="1"/>
    </xf>
    <xf numFmtId="0" fontId="10" fillId="3" borderId="0" applyAlignment="1" pivotButton="0" quotePrefix="0" xfId="0">
      <alignment vertical="center" wrapText="1"/>
    </xf>
    <xf numFmtId="0" fontId="10" fillId="3" borderId="2" applyAlignment="1" pivotButton="0" quotePrefix="0" xfId="0">
      <alignment vertical="center" wrapText="1"/>
    </xf>
    <xf numFmtId="0" fontId="10" fillId="3" borderId="0" applyAlignment="1" pivotButton="0" quotePrefix="0" xfId="0">
      <alignment horizontal="right" vertical="center" wrapText="1"/>
    </xf>
    <xf numFmtId="0" fontId="10" fillId="3" borderId="1" applyAlignment="1" pivotButton="0" quotePrefix="0" xfId="0">
      <alignment horizontal="right" vertical="center" wrapText="1"/>
    </xf>
    <xf numFmtId="0" fontId="10" fillId="3" borderId="0" applyAlignment="1" pivotButton="0" quotePrefix="0" xfId="0">
      <alignment horizontal="right" vertical="center" wrapText="1"/>
    </xf>
    <xf numFmtId="0" fontId="10" fillId="3" borderId="1" applyAlignment="1" pivotButton="0" quotePrefix="0" xfId="0">
      <alignment horizontal="right" vertical="center" wrapText="1"/>
    </xf>
    <xf numFmtId="0" fontId="10" fillId="3" borderId="0" applyAlignment="1" pivotButton="0" quotePrefix="0" xfId="0">
      <alignment vertical="center" wrapText="1"/>
    </xf>
    <xf numFmtId="0" fontId="10" fillId="3" borderId="1" applyAlignment="1" pivotButton="0" quotePrefix="0" xfId="0">
      <alignment vertical="center" wrapText="1"/>
    </xf>
    <xf numFmtId="0" fontId="10" fillId="3" borderId="2" applyAlignment="1" pivotButton="0" quotePrefix="0" xfId="0">
      <alignment vertical="center" wrapText="1"/>
    </xf>
    <xf numFmtId="0" fontId="7" fillId="3" borderId="0" applyAlignment="1" pivotButton="0" quotePrefix="0" xfId="0">
      <alignment vertical="center" wrapText="1"/>
    </xf>
    <xf numFmtId="0" fontId="10" fillId="0" borderId="2" applyAlignment="1" pivotButton="0" quotePrefix="0" xfId="0">
      <alignment vertical="center" wrapText="1"/>
    </xf>
    <xf numFmtId="0" fontId="10" fillId="3" borderId="9" applyAlignment="1" pivotButton="0" quotePrefix="0" xfId="0">
      <alignment vertical="center" wrapText="1"/>
    </xf>
    <xf numFmtId="0" fontId="7" fillId="3" borderId="0" applyAlignment="1" pivotButton="0" quotePrefix="0" xfId="0">
      <alignment vertical="center" wrapText="1"/>
    </xf>
    <xf numFmtId="0" fontId="10" fillId="3" borderId="12" applyAlignment="1" pivotButton="0" quotePrefix="0" xfId="0">
      <alignment vertical="center" wrapText="1"/>
    </xf>
    <xf numFmtId="0" fontId="9" fillId="3" borderId="0" applyAlignment="1" pivotButton="0" quotePrefix="0" xfId="0">
      <alignment horizontal="left" vertical="center" wrapText="1"/>
    </xf>
    <xf numFmtId="166" fontId="10" fillId="3" borderId="2" applyAlignment="1" pivotButton="0" quotePrefix="0" xfId="0">
      <alignment horizontal="left" vertical="center" wrapText="1"/>
    </xf>
    <xf numFmtId="166" fontId="10" fillId="3" borderId="2" applyAlignment="1" pivotButton="0" quotePrefix="0" xfId="0">
      <alignment horizontal="left" vertical="center" wrapText="1"/>
    </xf>
    <xf numFmtId="0" fontId="14" fillId="3" borderId="2" applyAlignment="1" pivotButton="0" quotePrefix="0" xfId="0">
      <alignment vertical="center" wrapText="1"/>
    </xf>
    <xf numFmtId="0" fontId="14" fillId="3" borderId="0" applyAlignment="1" pivotButton="0" quotePrefix="0" xfId="0">
      <alignment horizontal="center" vertical="center" wrapText="1"/>
    </xf>
    <xf numFmtId="0" fontId="14" fillId="5" borderId="2" applyAlignment="1" pivotButton="0" quotePrefix="0" xfId="0">
      <alignment horizontal="center" vertical="center" wrapText="1"/>
    </xf>
    <xf numFmtId="0" fontId="30" fillId="3" borderId="0" applyAlignment="1" pivotButton="0" quotePrefix="0" xfId="0">
      <alignment vertical="center" wrapText="1"/>
    </xf>
    <xf numFmtId="0" fontId="31" fillId="3" borderId="1" applyAlignment="1" pivotButton="0" quotePrefix="0" xfId="0">
      <alignment horizontal="center" vertical="center" wrapText="1"/>
    </xf>
    <xf numFmtId="0" fontId="31" fillId="3" borderId="1" applyAlignment="1" pivotButton="0" quotePrefix="0" xfId="0">
      <alignment horizontal="center" vertical="center" wrapText="1"/>
    </xf>
    <xf numFmtId="0" fontId="14" fillId="3" borderId="1" applyAlignment="1" pivotButton="0" quotePrefix="0" xfId="0">
      <alignment horizontal="center" vertical="top"/>
    </xf>
    <xf numFmtId="0" fontId="10" fillId="3" borderId="1" applyAlignment="1" pivotButton="0" quotePrefix="0" xfId="0">
      <alignment horizontal="left" vertical="top"/>
    </xf>
    <xf numFmtId="0" fontId="10" fillId="0" borderId="1" applyAlignment="1" pivotButton="0" quotePrefix="0" xfId="0">
      <alignment horizontal="center" vertical="center" wrapText="1"/>
    </xf>
    <xf numFmtId="0" fontId="32" fillId="3" borderId="0" applyAlignment="1" pivotButton="0" quotePrefix="0" xfId="0">
      <alignment vertical="center" wrapText="1"/>
    </xf>
    <xf numFmtId="0" fontId="9" fillId="3" borderId="12" applyAlignment="1" pivotButton="0" quotePrefix="0" xfId="0">
      <alignment horizontal="left" vertical="top"/>
    </xf>
    <xf numFmtId="0" fontId="9" fillId="3" borderId="1" applyAlignment="1" pivotButton="0" quotePrefix="0" xfId="0">
      <alignment horizontal="left" vertical="top"/>
    </xf>
    <xf numFmtId="0" fontId="18" fillId="3" borderId="0" applyAlignment="1" pivotButton="0" quotePrefix="0" xfId="0">
      <alignment horizontal="center" vertical="center"/>
    </xf>
    <xf numFmtId="0" fontId="18" fillId="2" borderId="2" applyAlignment="1" pivotButton="0" quotePrefix="0" xfId="0">
      <alignment horizontal="left" vertical="center"/>
    </xf>
    <xf numFmtId="0" fontId="14" fillId="2" borderId="2" applyAlignment="1" pivotButton="0" quotePrefix="0" xfId="0">
      <alignment horizontal="left" vertical="center" wrapText="1"/>
    </xf>
    <xf numFmtId="0" fontId="14" fillId="2" borderId="9" applyAlignment="1" pivotButton="0" quotePrefix="0" xfId="0">
      <alignment horizontal="left" vertical="center" wrapText="1"/>
    </xf>
    <xf numFmtId="0" fontId="33" fillId="0" borderId="0" applyAlignment="1" pivotButton="0" quotePrefix="0" xfId="0">
      <alignment vertical="center" wrapText="1"/>
    </xf>
    <xf numFmtId="0" fontId="16" fillId="2" borderId="0" applyAlignment="1" pivotButton="0" quotePrefix="0" xfId="0">
      <alignment horizontal="center" vertical="center" wrapText="1"/>
    </xf>
    <xf numFmtId="0" fontId="10" fillId="0" borderId="2" applyAlignment="1" pivotButton="0" quotePrefix="0" xfId="0">
      <alignment vertical="center" wrapText="1"/>
    </xf>
    <xf numFmtId="166" fontId="10" fillId="3" borderId="2" applyAlignment="1" pivotButton="0" quotePrefix="0" xfId="0">
      <alignment horizontal="left" vertical="center" wrapText="1"/>
    </xf>
    <xf numFmtId="166" fontId="10" fillId="3" borderId="2" pivotButton="0" quotePrefix="0" xfId="0"/>
    <xf numFmtId="0" fontId="31" fillId="3" borderId="1" applyAlignment="1" pivotButton="0" quotePrefix="0" xfId="0">
      <alignment vertical="center" wrapText="1"/>
    </xf>
    <xf numFmtId="0" fontId="31" fillId="3" borderId="1" applyAlignment="1" pivotButton="0" quotePrefix="0" xfId="0">
      <alignment vertical="center" wrapText="1"/>
    </xf>
    <xf numFmtId="0" fontId="10" fillId="3" borderId="8" applyAlignment="1" pivotButton="0" quotePrefix="0" xfId="0">
      <alignment vertical="bottom"/>
    </xf>
    <xf numFmtId="0" fontId="14" fillId="2" borderId="9" applyAlignment="1" pivotButton="0" quotePrefix="0" xfId="0">
      <alignment horizontal="center" vertical="bottom" wrapText="1"/>
    </xf>
    <xf numFmtId="0" fontId="10" fillId="3" borderId="0" applyAlignment="1" pivotButton="0" quotePrefix="0" xfId="0">
      <alignment vertical="bottom"/>
    </xf>
    <xf numFmtId="0" fontId="10" fillId="3" borderId="13" applyAlignment="1" pivotButton="0" quotePrefix="0" xfId="0">
      <alignment vertical="bottom" wrapText="1"/>
    </xf>
    <xf numFmtId="0" fontId="10" fillId="3" borderId="11" applyAlignment="1" pivotButton="0" quotePrefix="0" xfId="0">
      <alignment vertical="bottom" wrapText="1"/>
    </xf>
    <xf numFmtId="0" fontId="10" fillId="3" borderId="11" applyAlignment="1" pivotButton="0" quotePrefix="0" xfId="0">
      <alignment horizontal="center" vertical="bottom" wrapText="1"/>
    </xf>
    <xf numFmtId="0" fontId="10" fillId="3" borderId="8" applyAlignment="1" pivotButton="0" quotePrefix="0" xfId="0">
      <alignment vertical="bottom"/>
    </xf>
    <xf numFmtId="0" fontId="14" fillId="2" borderId="13" applyAlignment="1" pivotButton="0" quotePrefix="0" xfId="0">
      <alignment horizontal="center" vertical="bottom" wrapText="1"/>
    </xf>
    <xf numFmtId="0" fontId="7" fillId="0" borderId="13" pivotButton="0" quotePrefix="0" xfId="0"/>
    <xf numFmtId="0" fontId="10" fillId="3" borderId="0" applyAlignment="1" pivotButton="0" quotePrefix="0" xfId="0">
      <alignment vertical="bottom"/>
    </xf>
    <xf numFmtId="0" fontId="14" fillId="2" borderId="13" applyAlignment="1" pivotButton="0" quotePrefix="0" xfId="0">
      <alignment horizontal="center" vertical="bottom" wrapText="1"/>
    </xf>
    <xf numFmtId="0" fontId="10" fillId="3" borderId="13" applyAlignment="1" pivotButton="0" quotePrefix="0" xfId="0">
      <alignment vertical="bottom" wrapText="1"/>
    </xf>
    <xf numFmtId="0" fontId="10" fillId="3" borderId="11" applyAlignment="1" pivotButton="0" quotePrefix="0" xfId="0">
      <alignment vertical="bottom" wrapText="1"/>
    </xf>
    <xf numFmtId="0" fontId="10" fillId="3" borderId="11" applyAlignment="1" pivotButton="0" quotePrefix="0" xfId="0">
      <alignment horizontal="center" vertical="bottom" wrapText="1"/>
    </xf>
    <xf numFmtId="0" fontId="10" fillId="3" borderId="2" applyAlignment="1" pivotButton="0" quotePrefix="0" xfId="0">
      <alignment vertical="bottom" wrapText="1"/>
    </xf>
    <xf numFmtId="0" fontId="14" fillId="2" borderId="13" applyAlignment="1" pivotButton="0" quotePrefix="0" xfId="0">
      <alignment horizontal="center" vertical="bottom" wrapText="1"/>
    </xf>
    <xf numFmtId="0" fontId="10" fillId="3" borderId="10" applyAlignment="1" pivotButton="0" quotePrefix="0" xfId="0">
      <alignment vertical="bottom" wrapText="1"/>
    </xf>
    <xf numFmtId="0" fontId="7" fillId="0" borderId="0" applyAlignment="1" pivotButton="0" quotePrefix="0" xfId="0">
      <alignment wrapText="1"/>
    </xf>
    <xf numFmtId="0" fontId="23" fillId="3" borderId="0" applyAlignment="1" pivotButton="0" quotePrefix="0" xfId="0">
      <alignment wrapText="1"/>
    </xf>
    <xf numFmtId="0" fontId="7" fillId="0" borderId="4" applyAlignment="1" pivotButton="0" quotePrefix="0" xfId="0">
      <alignment vertical="center" wrapText="1"/>
    </xf>
    <xf numFmtId="0" fontId="1" fillId="3" borderId="5" applyAlignment="1" pivotButton="0" quotePrefix="0" xfId="0">
      <alignment horizontal="center" vertical="center" wrapText="1"/>
    </xf>
    <xf numFmtId="0" fontId="1" fillId="3" borderId="6" applyAlignment="1" pivotButton="0" quotePrefix="0" xfId="0">
      <alignment horizontal="center" vertical="center" wrapText="1"/>
    </xf>
    <xf numFmtId="0" fontId="16" fillId="2" borderId="4" applyAlignment="1" pivotButton="0" quotePrefix="0" xfId="0">
      <alignment horizontal="center" vertical="center"/>
    </xf>
    <xf numFmtId="0" fontId="3" fillId="0" borderId="4" applyAlignment="1" pivotButton="0" quotePrefix="0" xfId="0">
      <alignment vertical="center"/>
    </xf>
    <xf numFmtId="0" fontId="3" fillId="0" borderId="5" applyAlignment="1" pivotButton="0" quotePrefix="0" xfId="0">
      <alignment vertical="center" wrapText="1"/>
    </xf>
    <xf numFmtId="0" fontId="3" fillId="3" borderId="6" applyAlignment="1" pivotButton="0" quotePrefix="0" xfId="0">
      <alignment vertical="center" wrapText="1"/>
    </xf>
    <xf numFmtId="0" fontId="0" fillId="0" borderId="7" applyAlignment="1" pivotButton="0" quotePrefix="0" xfId="0">
      <alignment vertical="center"/>
    </xf>
    <xf numFmtId="0" fontId="0" fillId="0" borderId="0" applyAlignment="1" pivotButton="0" quotePrefix="0" xfId="0">
      <alignment vertical="center"/>
    </xf>
    <xf numFmtId="0" fontId="0" fillId="0" borderId="8" applyAlignment="1" pivotButton="0" quotePrefix="0" xfId="0">
      <alignment vertical="center"/>
    </xf>
    <xf numFmtId="0" fontId="0" fillId="0" borderId="7" applyAlignment="1" pivotButton="0" quotePrefix="0" xfId="0">
      <alignment vertical="center" wrapText="1"/>
    </xf>
    <xf numFmtId="0" fontId="7" fillId="0" borderId="8" pivotButton="0" quotePrefix="0" xfId="0"/>
    <xf numFmtId="0" fontId="3" fillId="0" borderId="0" applyAlignment="1" pivotButton="0" quotePrefix="0" xfId="0">
      <alignment vertical="center" wrapText="1"/>
    </xf>
    <xf numFmtId="0" fontId="3" fillId="3" borderId="8" applyAlignment="1" pivotButton="0" quotePrefix="0" xfId="0">
      <alignment vertical="center" wrapText="1"/>
    </xf>
    <xf numFmtId="0" fontId="0" fillId="3" borderId="7" applyAlignment="1" pivotButton="0" quotePrefix="0" xfId="0">
      <alignment vertical="center"/>
    </xf>
    <xf numFmtId="0" fontId="10" fillId="0" borderId="7" applyAlignment="1" pivotButton="0" quotePrefix="0" xfId="0">
      <alignment vertical="center" wrapText="1"/>
    </xf>
    <xf numFmtId="0" fontId="10" fillId="3" borderId="8" applyAlignment="1" pivotButton="0" quotePrefix="0" xfId="0">
      <alignment vertical="center" wrapText="1"/>
    </xf>
    <xf numFmtId="0" fontId="3" fillId="0" borderId="7" applyAlignment="1" pivotButton="0" quotePrefix="0" xfId="0">
      <alignment vertical="center" wrapText="1"/>
    </xf>
    <xf numFmtId="0" fontId="34" fillId="0" borderId="7" applyAlignment="1" pivotButton="0" quotePrefix="0" xfId="0">
      <alignment horizontal="center" vertical="center" wrapText="1"/>
    </xf>
    <xf numFmtId="0" fontId="34" fillId="3" borderId="0" applyAlignment="1" pivotButton="0" quotePrefix="0" xfId="0">
      <alignment horizontal="center" vertical="center" wrapText="1"/>
    </xf>
    <xf numFmtId="0" fontId="34" fillId="3" borderId="8" applyAlignment="1" pivotButton="0" quotePrefix="0" xfId="0">
      <alignment horizontal="center" vertical="center" wrapText="1"/>
    </xf>
    <xf numFmtId="0" fontId="35" fillId="0" borderId="10" applyAlignment="1" pivotButton="0" quotePrefix="0" xfId="0">
      <alignment horizontal="center" vertical="center"/>
    </xf>
    <xf numFmtId="0" fontId="36" fillId="3" borderId="13" applyAlignment="1" pivotButton="0" quotePrefix="0" xfId="0">
      <alignment horizontal="center" vertical="center"/>
    </xf>
    <xf numFmtId="0" fontId="36" fillId="3" borderId="11" applyAlignment="1" pivotButton="0" quotePrefix="0" xfId="0">
      <alignment horizontal="center" vertical="center"/>
    </xf>
    <xf numFmtId="0" fontId="27" fillId="3" borderId="0" applyAlignment="1" pivotButton="0" quotePrefix="0" xfId="0">
      <alignment vertical="center" wrapText="1"/>
    </xf>
    <xf numFmtId="0" fontId="10"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wrapText="1"/>
    </xf>
    <xf numFmtId="0" fontId="37" fillId="0" borderId="0" applyAlignment="1" pivotButton="0" quotePrefix="0" xfId="0">
      <alignment vertical="center" wrapText="1"/>
    </xf>
    <xf numFmtId="0" fontId="1" fillId="2" borderId="2" applyAlignment="1" pivotButton="0" quotePrefix="0" xfId="0">
      <alignment horizontal="center" vertical="center" wrapText="1"/>
    </xf>
    <xf numFmtId="0" fontId="14" fillId="6" borderId="1" applyAlignment="1" pivotButton="0" quotePrefix="0" xfId="0">
      <alignment vertical="center" wrapText="1"/>
    </xf>
    <xf numFmtId="0" fontId="14" fillId="6" borderId="14" applyAlignment="1" pivotButton="0" quotePrefix="0" xfId="0">
      <alignment vertical="center" wrapText="1"/>
    </xf>
    <xf numFmtId="0" fontId="7" fillId="0" borderId="4" applyAlignment="1" pivotButton="0" quotePrefix="0" xfId="0">
      <alignment vertical="center" wrapText="1"/>
    </xf>
    <xf numFmtId="0" fontId="14" fillId="6" borderId="1" applyAlignment="1" pivotButton="0" quotePrefix="0" xfId="0">
      <alignment horizontal="right" vertical="center" wrapText="1"/>
    </xf>
    <xf numFmtId="164" fontId="14" fillId="3" borderId="1" applyAlignment="1" pivotButton="0" quotePrefix="0" xfId="0">
      <alignment vertical="center" wrapText="1"/>
    </xf>
    <xf numFmtId="164" fontId="14" fillId="3" borderId="2" applyAlignment="1" pivotButton="0" quotePrefix="0" xfId="0">
      <alignment vertical="center" wrapText="1"/>
    </xf>
    <xf numFmtId="0" fontId="14" fillId="3" borderId="9" applyAlignment="1" pivotButton="0" quotePrefix="0" xfId="0">
      <alignment vertical="center" wrapText="1"/>
    </xf>
    <xf numFmtId="0" fontId="7" fillId="3" borderId="9" applyAlignment="1" pivotButton="0" quotePrefix="0" xfId="0">
      <alignment vertical="center" wrapText="1"/>
    </xf>
    <xf numFmtId="0" fontId="14" fillId="6" borderId="10" applyAlignment="1" pivotButton="0" quotePrefix="0" xfId="0">
      <alignment horizontal="center" vertical="center" wrapText="1"/>
    </xf>
    <xf numFmtId="0" fontId="8" fillId="6" borderId="1" applyAlignment="1" pivotButton="0" quotePrefix="0" xfId="0">
      <alignment vertical="center" wrapText="1"/>
    </xf>
    <xf numFmtId="0" fontId="7" fillId="0" borderId="14" applyAlignment="1" pivotButton="0" quotePrefix="0" xfId="0">
      <alignment vertical="center" wrapText="1"/>
    </xf>
    <xf numFmtId="0" fontId="8" fillId="6" borderId="12" applyAlignment="1" pivotButton="0" quotePrefix="0" xfId="0">
      <alignment vertical="center" wrapText="1"/>
    </xf>
    <xf numFmtId="0" fontId="7" fillId="0" borderId="9" applyAlignment="1" pivotButton="0" quotePrefix="0" xfId="0">
      <alignment vertical="center" wrapText="1"/>
    </xf>
    <xf numFmtId="0" fontId="8" fillId="6" borderId="1" applyAlignment="1" pivotButton="0" quotePrefix="0" xfId="0">
      <alignment horizontal="center" vertical="center" wrapText="1"/>
    </xf>
    <xf numFmtId="0" fontId="38" fillId="0" borderId="1" applyAlignment="1" pivotButton="0" quotePrefix="0" xfId="0">
      <alignment vertical="top" wrapText="1"/>
    </xf>
    <xf numFmtId="164" fontId="7" fillId="0" borderId="1" applyAlignment="1" pivotButton="0" quotePrefix="0" xfId="0">
      <alignment vertical="center" wrapText="1"/>
    </xf>
    <xf numFmtId="0" fontId="10" fillId="0" borderId="1" applyAlignment="1" pivotButton="0" quotePrefix="0" xfId="0">
      <alignment vertical="top" wrapText="1"/>
    </xf>
    <xf numFmtId="0" fontId="10" fillId="0" borderId="1" applyAlignment="1" pivotButton="0" quotePrefix="0" xfId="0">
      <alignment vertical="center" wrapText="1"/>
    </xf>
    <xf numFmtId="0" fontId="7" fillId="0" borderId="1" applyAlignment="1" pivotButton="0" quotePrefix="0" xfId="0">
      <alignment vertical="center" wrapText="1"/>
    </xf>
    <xf numFmtId="0" fontId="7" fillId="0" borderId="0" applyAlignment="1" pivotButton="0" quotePrefix="0" xfId="0">
      <alignment vertical="center" wrapText="1"/>
    </xf>
    <xf numFmtId="0" fontId="14" fillId="6" borderId="5" applyAlignment="1" pivotButton="0" quotePrefix="0" xfId="0">
      <alignment horizontal="center" vertical="center" wrapText="1"/>
    </xf>
    <xf numFmtId="0" fontId="14" fillId="3" borderId="1" applyAlignment="1" pivotButton="0" quotePrefix="0" xfId="0">
      <alignment vertical="center" wrapText="1"/>
    </xf>
    <xf numFmtId="170" fontId="7" fillId="0" borderId="1" applyAlignment="1" pivotButton="0" quotePrefix="0" xfId="0">
      <alignment vertical="center" wrapText="1"/>
    </xf>
    <xf numFmtId="0" fontId="10" fillId="0" borderId="1" applyAlignment="1" pivotButton="0" quotePrefix="0" xfId="0">
      <alignment vertical="center" wrapText="1"/>
    </xf>
    <xf numFmtId="164" fontId="10" fillId="0" borderId="3" applyAlignment="1" pivotButton="0" quotePrefix="0" xfId="0">
      <alignment vertical="center" wrapText="1"/>
    </xf>
    <xf numFmtId="0" fontId="10" fillId="0" borderId="0" applyAlignment="1" pivotButton="0" quotePrefix="0" xfId="0">
      <alignment vertical="center" wrapText="1"/>
    </xf>
    <xf numFmtId="0" fontId="7" fillId="0" borderId="3" applyAlignment="1" pivotButton="0" quotePrefix="0" xfId="0">
      <alignment vertical="center" wrapText="1"/>
    </xf>
    <xf numFmtId="0" fontId="7" fillId="0" borderId="3" applyAlignment="1" pivotButton="0" quotePrefix="0" xfId="0">
      <alignment vertical="center" wrapText="1"/>
    </xf>
    <xf numFmtId="170" fontId="7" fillId="0" borderId="3" applyAlignment="1" pivotButton="0" quotePrefix="0" xfId="0">
      <alignment vertical="center" wrapText="1"/>
    </xf>
    <xf numFmtId="0" fontId="14" fillId="6" borderId="1" applyAlignment="1" pivotButton="0" quotePrefix="0" xfId="0">
      <alignment vertical="center" wrapText="1"/>
    </xf>
    <xf numFmtId="0" fontId="10" fillId="6" borderId="3" applyAlignment="1" pivotButton="0" quotePrefix="0" xfId="0">
      <alignment vertical="center"/>
    </xf>
    <xf numFmtId="0" fontId="10" fillId="6" borderId="3" applyAlignment="1" pivotButton="0" quotePrefix="0" xfId="0">
      <alignment vertical="center"/>
    </xf>
    <xf numFmtId="0" fontId="10" fillId="0" borderId="12" applyAlignment="1" pivotButton="0" quotePrefix="0" xfId="0">
      <alignment vertical="center" wrapText="1"/>
    </xf>
    <xf numFmtId="0" fontId="10" fillId="0" borderId="11" applyAlignment="1" pivotButton="0" quotePrefix="0" xfId="0">
      <alignment vertical="center"/>
    </xf>
    <xf numFmtId="0" fontId="10" fillId="0" borderId="11" applyAlignment="1" pivotButton="0" quotePrefix="0" xfId="0">
      <alignment vertical="center"/>
    </xf>
    <xf numFmtId="0" fontId="10" fillId="0" borderId="11" applyAlignment="1" pivotButton="0" quotePrefix="0" xfId="0">
      <alignment vertical="center" wrapText="1"/>
    </xf>
    <xf numFmtId="164" fontId="10" fillId="0" borderId="11" applyAlignment="1" pivotButton="0" quotePrefix="0" xfId="0">
      <alignment vertical="center"/>
    </xf>
    <xf numFmtId="0" fontId="10" fillId="3" borderId="12" applyAlignment="1" pivotButton="0" quotePrefix="0" xfId="0">
      <alignment vertical="center" wrapText="1"/>
    </xf>
    <xf numFmtId="0" fontId="14" fillId="6" borderId="2" applyAlignment="1" pivotButton="0" quotePrefix="0" xfId="0">
      <alignment vertical="center" wrapText="1"/>
    </xf>
    <xf numFmtId="0" fontId="7" fillId="0" borderId="2" applyAlignment="1" pivotButton="0" quotePrefix="0" xfId="0">
      <alignment vertical="center" wrapText="1"/>
    </xf>
    <xf numFmtId="0" fontId="14" fillId="2" borderId="1" applyAlignment="1" pivotButton="0" quotePrefix="0" xfId="0">
      <alignment horizontal="center" vertical="center"/>
    </xf>
    <xf numFmtId="0" fontId="8" fillId="2" borderId="2" applyAlignment="1" pivotButton="0" quotePrefix="0" xfId="0">
      <alignment horizontal="center" vertical="center"/>
    </xf>
    <xf numFmtId="0" fontId="7" fillId="0" borderId="1" applyAlignment="1" pivotButton="0" quotePrefix="0" xfId="0">
      <alignment vertical="center"/>
    </xf>
    <xf numFmtId="0" fontId="10" fillId="0" borderId="0" applyAlignment="1" pivotButton="0" quotePrefix="0" xfId="0">
      <alignment vertical="center"/>
    </xf>
    <xf numFmtId="167" fontId="7" fillId="0" borderId="1" applyAlignment="1" pivotButton="0" quotePrefix="0" xfId="0">
      <alignment vertical="center"/>
    </xf>
    <xf numFmtId="0" fontId="10" fillId="0" borderId="1" applyAlignment="1" pivotButton="0" quotePrefix="0" xfId="0">
      <alignment vertical="center"/>
    </xf>
    <xf numFmtId="0" fontId="10" fillId="0" borderId="1" applyAlignment="1" pivotButton="0" quotePrefix="0" xfId="0">
      <alignment vertical="center"/>
    </xf>
    <xf numFmtId="167" fontId="10" fillId="0" borderId="1" applyAlignment="1" pivotButton="0" quotePrefix="0" xfId="0">
      <alignment vertical="center"/>
    </xf>
    <xf numFmtId="167" fontId="10" fillId="0" borderId="1" applyAlignment="1" pivotButton="0" quotePrefix="0" xfId="0">
      <alignment vertical="center"/>
    </xf>
    <xf numFmtId="0" fontId="8" fillId="8" borderId="2" applyAlignment="1" pivotButton="0" quotePrefix="0" xfId="0">
      <alignment vertical="center"/>
    </xf>
    <xf numFmtId="0" fontId="8" fillId="8" borderId="1" applyAlignment="1" pivotButton="0" quotePrefix="0" xfId="0">
      <alignment vertical="center"/>
    </xf>
    <xf numFmtId="0" fontId="14" fillId="0" borderId="0" applyAlignment="1" pivotButton="0" quotePrefix="0" xfId="0">
      <alignment vertical="center"/>
    </xf>
    <xf numFmtId="0" fontId="8" fillId="2" borderId="1" applyAlignment="1" pivotButton="0" quotePrefix="0" xfId="0">
      <alignment horizontal="center" vertical="center"/>
    </xf>
    <xf numFmtId="0" fontId="9" fillId="0" borderId="0" applyAlignment="1" pivotButton="0" quotePrefix="0" xfId="0">
      <alignment vertical="center"/>
    </xf>
    <xf numFmtId="0" fontId="19" fillId="0" borderId="0" applyAlignment="1" pivotButton="0" quotePrefix="0" xfId="0">
      <alignment vertical="center"/>
    </xf>
    <xf numFmtId="0" fontId="18" fillId="8" borderId="2" applyAlignment="1" pivotButton="0" quotePrefix="0" xfId="0">
      <alignment vertical="center"/>
    </xf>
    <xf numFmtId="0" fontId="14" fillId="8" borderId="2" applyAlignment="1" pivotButton="0" quotePrefix="0" xfId="0">
      <alignment vertical="center"/>
    </xf>
    <xf numFmtId="0" fontId="14" fillId="2" borderId="1" applyAlignment="1" pivotButton="0" quotePrefix="0" xfId="0">
      <alignment vertical="center"/>
    </xf>
    <xf numFmtId="0" fontId="18" fillId="6" borderId="1" applyAlignment="1" pivotButton="0" quotePrefix="0" xfId="0">
      <alignment vertical="center"/>
    </xf>
    <xf numFmtId="0" fontId="39" fillId="6" borderId="1" applyAlignment="1" pivotButton="0" quotePrefix="0" xfId="0">
      <alignment vertical="center"/>
    </xf>
    <xf numFmtId="0" fontId="14" fillId="6" borderId="1" applyAlignment="1" pivotButton="0" quotePrefix="0" xfId="0">
      <alignment vertical="center"/>
    </xf>
    <xf numFmtId="0" fontId="8" fillId="6" borderId="1" pivotButton="0" quotePrefix="0" xfId="0"/>
    <xf numFmtId="0" fontId="8" fillId="6" borderId="1" pivotButton="0" quotePrefix="0" xfId="0"/>
    <xf numFmtId="0" fontId="9" fillId="0" borderId="1" applyAlignment="1" pivotButton="0" quotePrefix="0" xfId="0">
      <alignment vertical="center"/>
    </xf>
    <xf numFmtId="0" fontId="19" fillId="0" borderId="1" applyAlignment="1" pivotButton="0" quotePrefix="0" xfId="0">
      <alignment vertical="center"/>
    </xf>
    <xf numFmtId="0" fontId="10" fillId="0" borderId="1" applyAlignment="1" pivotButton="0" quotePrefix="0" xfId="0">
      <alignment vertical="center"/>
    </xf>
    <xf numFmtId="0" fontId="7" fillId="0" borderId="1" pivotButton="0" quotePrefix="0" xfId="0"/>
    <xf numFmtId="0" fontId="7" fillId="0" borderId="1" pivotButton="0" quotePrefix="0" xfId="0"/>
    <xf numFmtId="0" fontId="9" fillId="0" borderId="0" applyAlignment="1" pivotButton="0" quotePrefix="0" xfId="0">
      <alignment vertical="center"/>
    </xf>
    <xf numFmtId="0" fontId="9" fillId="0" borderId="1" applyAlignment="1" pivotButton="0" quotePrefix="0" xfId="0">
      <alignment vertical="center"/>
    </xf>
    <xf numFmtId="0" fontId="19" fillId="0" borderId="1" applyAlignment="1" pivotButton="0" quotePrefix="0" xfId="0">
      <alignment vertical="center"/>
    </xf>
    <xf numFmtId="0" fontId="9" fillId="3" borderId="1" applyAlignment="1" pivotButton="0" quotePrefix="0" xfId="0">
      <alignment horizontal="left" vertical="center"/>
    </xf>
    <xf numFmtId="0" fontId="11" fillId="0" borderId="0" applyAlignment="1" pivotButton="0" quotePrefix="0" xfId="0">
      <alignment horizontal="center" vertical="center" wrapText="1"/>
    </xf>
    <xf numFmtId="0" fontId="8" fillId="8" borderId="2" pivotButton="0" quotePrefix="0" xfId="0"/>
    <xf numFmtId="0" fontId="9" fillId="0" borderId="0" applyAlignment="1" pivotButton="0" quotePrefix="0" xfId="0">
      <alignment vertical="center"/>
    </xf>
    <xf numFmtId="0" fontId="7" fillId="0" borderId="1" applyAlignment="1" pivotButton="0" quotePrefix="0" xfId="0">
      <alignment vertical="center"/>
    </xf>
    <xf numFmtId="0" fontId="7" fillId="0" borderId="1" applyAlignment="1" pivotButton="0" quotePrefix="0" xfId="0">
      <alignment vertical="center"/>
    </xf>
    <xf numFmtId="0" fontId="14" fillId="2" borderId="2" applyAlignment="1" pivotButton="0" quotePrefix="0" xfId="0">
      <alignment horizontal="center" vertical="center"/>
    </xf>
    <xf numFmtId="0" fontId="18" fillId="4" borderId="12" applyAlignment="1" pivotButton="0" quotePrefix="0" xfId="0">
      <alignment horizontal="center" vertical="center"/>
    </xf>
    <xf numFmtId="0" fontId="18" fillId="4" borderId="11" applyAlignment="1" pivotButton="0" quotePrefix="0" xfId="0">
      <alignment horizontal="center" vertical="center"/>
    </xf>
    <xf numFmtId="0" fontId="9" fillId="0" borderId="12" applyAlignment="1" pivotButton="0" quotePrefix="0" xfId="0">
      <alignment vertical="center"/>
    </xf>
    <xf numFmtId="0" fontId="9" fillId="0" borderId="11" applyAlignment="1" pivotButton="0" quotePrefix="0" xfId="0">
      <alignment vertical="center"/>
    </xf>
    <xf numFmtId="0" fontId="10" fillId="0" borderId="0" applyAlignment="1" pivotButton="0" quotePrefix="0" xfId="0">
      <alignment horizontal="left" vertical="center"/>
    </xf>
    <xf numFmtId="0" fontId="9" fillId="0" borderId="12" applyAlignment="1" pivotButton="0" quotePrefix="0" xfId="0">
      <alignment vertical="center"/>
    </xf>
    <xf numFmtId="0" fontId="10" fillId="0" borderId="12" applyAlignment="1" pivotButton="0" quotePrefix="0" xfId="0">
      <alignment vertical="center"/>
    </xf>
    <xf numFmtId="0" fontId="10" fillId="0" borderId="11" applyAlignment="1" pivotButton="0" quotePrefix="0" xfId="0">
      <alignment vertical="center"/>
    </xf>
    <xf numFmtId="0" fontId="10" fillId="0" borderId="13" applyAlignment="1" pivotButton="0" quotePrefix="0" xfId="0">
      <alignment vertical="center"/>
    </xf>
    <xf numFmtId="0" fontId="14" fillId="2" borderId="10" applyAlignment="1" pivotButton="0" quotePrefix="0" xfId="0">
      <alignment horizontal="center" vertical="center"/>
    </xf>
    <xf numFmtId="0" fontId="10" fillId="0" borderId="0" applyAlignment="1" pivotButton="0" quotePrefix="0" xfId="0">
      <alignment horizontal="left" vertical="center"/>
    </xf>
    <xf numFmtId="0" fontId="10" fillId="0" borderId="0" applyAlignment="1" pivotButton="0" quotePrefix="0" xfId="0">
      <alignment vertical="center"/>
    </xf>
    <xf numFmtId="0" fontId="10" fillId="0" borderId="0" applyAlignment="1" pivotButton="0" quotePrefix="0" xfId="0">
      <alignment vertical="center"/>
    </xf>
    <xf numFmtId="0" fontId="9" fillId="3" borderId="12" applyAlignment="1" pivotButton="0" quotePrefix="0" xfId="0">
      <alignment vertical="center"/>
    </xf>
    <xf numFmtId="0" fontId="9" fillId="0" borderId="11" applyAlignment="1" pivotButton="0" quotePrefix="0" xfId="0">
      <alignment vertical="center"/>
    </xf>
    <xf numFmtId="0" fontId="14" fillId="2" borderId="1" applyAlignment="1" pivotButton="0" quotePrefix="0" xfId="0">
      <alignment horizontal="center" vertical="center"/>
    </xf>
    <xf numFmtId="0" fontId="10" fillId="0" borderId="1" applyAlignment="1" pivotButton="0" quotePrefix="0" xfId="0">
      <alignment vertical="center"/>
    </xf>
    <xf numFmtId="0" fontId="10" fillId="0" borderId="1" applyAlignment="1" pivotButton="0" quotePrefix="0" xfId="0">
      <alignment vertical="center"/>
    </xf>
    <xf numFmtId="0" fontId="10" fillId="0" borderId="12" applyAlignment="1" pivotButton="0" quotePrefix="0" xfId="0">
      <alignment vertical="center"/>
    </xf>
    <xf numFmtId="0" fontId="10" fillId="0" borderId="11" applyAlignment="1" pivotButton="0" quotePrefix="0" xfId="0">
      <alignment vertical="center"/>
    </xf>
    <xf numFmtId="0" fontId="10" fillId="0" borderId="11" applyAlignment="1" pivotButton="0" quotePrefix="0" xfId="0">
      <alignment vertical="center" wrapText="1"/>
    </xf>
    <xf numFmtId="0" fontId="10" fillId="0" borderId="1" applyAlignment="1" pivotButton="0" quotePrefix="0" xfId="0">
      <alignment vertical="center"/>
    </xf>
    <xf numFmtId="0" fontId="10" fillId="0" borderId="0" applyAlignment="1" pivotButton="0" quotePrefix="0" xfId="0">
      <alignment vertical="center"/>
    </xf>
    <xf numFmtId="0" fontId="18" fillId="4" borderId="1" applyAlignment="1" pivotButton="0" quotePrefix="0" xfId="0">
      <alignment horizontal="center" vertical="center"/>
    </xf>
    <xf numFmtId="0" fontId="18" fillId="4" borderId="1" applyAlignment="1" pivotButton="0" quotePrefix="0" xfId="0">
      <alignment horizontal="center" vertical="center"/>
    </xf>
    <xf numFmtId="0" fontId="9" fillId="0" borderId="1" applyAlignment="1" pivotButton="0" quotePrefix="0" xfId="0">
      <alignment horizontal="left" vertical="center"/>
    </xf>
    <xf numFmtId="0" fontId="10" fillId="0" borderId="1" applyAlignment="1" pivotButton="0" quotePrefix="0" xfId="0">
      <alignment horizontal="left" vertical="center"/>
    </xf>
    <xf numFmtId="0" fontId="10" fillId="0" borderId="1" applyAlignment="1" pivotButton="0" quotePrefix="0" xfId="0">
      <alignment horizontal="left" vertical="center"/>
    </xf>
    <xf numFmtId="0" fontId="14" fillId="5" borderId="2" applyAlignment="1" pivotButton="0" quotePrefix="0" xfId="0">
      <alignment horizontal="center" wrapText="1"/>
    </xf>
    <xf numFmtId="0" fontId="14" fillId="4" borderId="12" applyAlignment="1" pivotButton="0" quotePrefix="0" xfId="0">
      <alignment horizontal="center" wrapText="1"/>
    </xf>
    <xf numFmtId="0" fontId="14" fillId="4" borderId="11" applyAlignment="1" pivotButton="0" quotePrefix="0" xfId="0">
      <alignment horizontal="center" wrapText="1"/>
    </xf>
    <xf numFmtId="0" fontId="14" fillId="4" borderId="11" applyAlignment="1" pivotButton="0" quotePrefix="0" xfId="0">
      <alignment horizontal="center" wrapText="1"/>
    </xf>
    <xf numFmtId="0" fontId="9" fillId="0" borderId="12" applyAlignment="1" pivotButton="0" quotePrefix="0" xfId="0">
      <alignment vertical="center"/>
    </xf>
    <xf numFmtId="0" fontId="10" fillId="3" borderId="1" applyAlignment="1" pivotButton="0" quotePrefix="0" xfId="0">
      <alignment wrapText="1"/>
    </xf>
    <xf numFmtId="164" fontId="10" fillId="3" borderId="1" applyAlignment="1" pivotButton="0" quotePrefix="0" xfId="0">
      <alignment horizontal="center" wrapText="1"/>
    </xf>
    <xf numFmtId="0" fontId="10" fillId="3" borderId="1" pivotButton="0" quotePrefix="0" xfId="0"/>
    <xf numFmtId="0" fontId="9" fillId="0" borderId="12" applyAlignment="1" pivotButton="0" quotePrefix="0" xfId="0">
      <alignment vertical="center"/>
    </xf>
    <xf numFmtId="0" fontId="10" fillId="0" borderId="1" applyAlignment="1" pivotButton="0" quotePrefix="0" xfId="0">
      <alignment vertical="center"/>
    </xf>
    <xf numFmtId="0" fontId="14" fillId="2" borderId="2" applyAlignment="1" pivotButton="0" quotePrefix="0" xfId="0">
      <alignment horizontal="center" vertical="center"/>
    </xf>
    <xf numFmtId="0" fontId="9" fillId="0" borderId="11" applyAlignment="1" pivotButton="0" quotePrefix="0" xfId="0">
      <alignment vertical="center"/>
    </xf>
    <xf numFmtId="0" fontId="8" fillId="8" borderId="1" applyAlignment="1" pivotButton="0" quotePrefix="0" xfId="0">
      <alignment horizontal="left" vertical="center"/>
    </xf>
    <xf numFmtId="0" fontId="8" fillId="8" borderId="1" applyAlignment="1" pivotButton="0" quotePrefix="0" xfId="0">
      <alignment vertical="center" wrapText="1"/>
    </xf>
    <xf numFmtId="0" fontId="8" fillId="8" borderId="1" applyAlignment="1" pivotButton="0" quotePrefix="0" xfId="0">
      <alignment horizontal="left" vertical="center" wrapText="1"/>
    </xf>
    <xf numFmtId="0" fontId="8" fillId="6" borderId="1" applyAlignment="1" pivotButton="0" quotePrefix="0" xfId="0">
      <alignment horizontal="center" vertical="center"/>
    </xf>
    <xf numFmtId="0" fontId="8" fillId="6" borderId="1" applyAlignment="1" pivotButton="0" quotePrefix="0" xfId="0">
      <alignment horizontal="left" vertical="center" wrapText="1"/>
    </xf>
    <xf numFmtId="169" fontId="10" fillId="0" borderId="1" applyAlignment="1" pivotButton="0" quotePrefix="0" xfId="0">
      <alignment horizontal="center"/>
    </xf>
    <xf numFmtId="0" fontId="10" fillId="0" borderId="3" applyAlignment="1" pivotButton="0" quotePrefix="0" xfId="0">
      <alignment wrapText="1"/>
    </xf>
    <xf numFmtId="0" fontId="10" fillId="0" borderId="3" applyAlignment="1" pivotButton="0" quotePrefix="0" xfId="0">
      <alignment horizontal="left" vertical="center" wrapText="1"/>
    </xf>
    <xf numFmtId="169" fontId="10" fillId="0" borderId="1" applyAlignment="1" pivotButton="0" quotePrefix="0" xfId="0">
      <alignment horizontal="center"/>
    </xf>
    <xf numFmtId="0" fontId="10" fillId="0" borderId="3" applyAlignment="1" pivotButton="0" quotePrefix="0" xfId="0">
      <alignment wrapText="1"/>
    </xf>
    <xf numFmtId="0" fontId="10" fillId="0" borderId="3" applyAlignment="1" pivotButton="0" quotePrefix="0" xfId="0">
      <alignment horizontal="left" vertical="center" wrapText="1"/>
    </xf>
    <xf numFmtId="169" fontId="7" fillId="0" borderId="1" applyAlignment="1" pivotButton="0" quotePrefix="0" xfId="0">
      <alignment horizontal="center" vertical="center"/>
    </xf>
    <xf numFmtId="0" fontId="7" fillId="0" borderId="1" applyAlignment="1" pivotButton="0" quotePrefix="0" xfId="0">
      <alignment horizontal="left" vertical="center" wrapText="1"/>
    </xf>
    <xf numFmtId="0" fontId="10" fillId="0" borderId="3" applyAlignment="1" pivotButton="0" quotePrefix="0" xfId="0">
      <alignment horizontal="left" vertical="center" wrapText="1"/>
    </xf>
    <xf numFmtId="0" fontId="40" fillId="0" borderId="1" applyAlignment="1" pivotButton="0" quotePrefix="0" xfId="0">
      <alignment vertical="center" wrapText="1"/>
    </xf>
    <xf numFmtId="169" fontId="10" fillId="0" borderId="1" applyAlignment="1" pivotButton="0" quotePrefix="0" xfId="0">
      <alignment horizontal="center" vertical="center"/>
    </xf>
    <xf numFmtId="0" fontId="10" fillId="0" borderId="1" applyAlignment="1" pivotButton="0" quotePrefix="0" xfId="0">
      <alignment horizontal="left" vertical="center" wrapText="1"/>
    </xf>
    <xf numFmtId="0" fontId="0" fillId="0" borderId="0" pivotButton="0" quotePrefix="0" xfId="0"/>
    <xf numFmtId="0" fontId="6" fillId="5" borderId="1" applyAlignment="1" pivotButton="0" quotePrefix="0" xfId="0">
      <alignment horizontal="center" vertical="center" wrapText="1"/>
    </xf>
    <xf numFmtId="0" fontId="0" fillId="0" borderId="3" pivotButton="0" quotePrefix="0" xfId="0"/>
    <xf numFmtId="0" fontId="1" fillId="5" borderId="14"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9" pivotButton="0" quotePrefix="0" xfId="0"/>
    <xf numFmtId="0" fontId="0" fillId="0" borderId="11" pivotButton="0" quotePrefix="0" xfId="0"/>
    <xf numFmtId="167" fontId="14" fillId="6" borderId="1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left" vertical="center"/>
    </xf>
    <xf numFmtId="0" fontId="8" fillId="5" borderId="14" applyAlignment="1" pivotButton="0" quotePrefix="0" xfId="0">
      <alignment horizontal="center" vertical="center" wrapText="1"/>
    </xf>
    <xf numFmtId="166" fontId="8" fillId="5" borderId="1" applyAlignment="1" pivotButton="0" quotePrefix="0" xfId="0">
      <alignment horizontal="center" vertical="center" wrapText="1"/>
    </xf>
    <xf numFmtId="166" fontId="8" fillId="5" borderId="1" applyAlignment="1" pivotButton="0" quotePrefix="0" xfId="0">
      <alignment horizontal="center" vertical="center"/>
    </xf>
    <xf numFmtId="164" fontId="8" fillId="5" borderId="1" applyAlignment="1" pivotButton="0" quotePrefix="0" xfId="0">
      <alignment horizontal="center" vertical="center"/>
    </xf>
    <xf numFmtId="166" fontId="10" fillId="3" borderId="1" applyAlignment="1" pivotButton="0" quotePrefix="0" xfId="0">
      <alignment horizontal="left" vertical="center" wrapText="1"/>
    </xf>
    <xf numFmtId="0" fontId="18" fillId="2" borderId="1" applyAlignment="1" pivotButton="0" quotePrefix="0" xfId="0">
      <alignment horizontal="left" vertical="center"/>
    </xf>
    <xf numFmtId="0" fontId="14" fillId="2" borderId="1" applyAlignment="1" pivotButton="0" quotePrefix="0" xfId="0">
      <alignment horizontal="left" vertical="center" wrapText="1"/>
    </xf>
    <xf numFmtId="166" fontId="10" fillId="3" borderId="1" pivotButton="0" quotePrefix="0" xfId="0"/>
    <xf numFmtId="0" fontId="14" fillId="2" borderId="3" applyAlignment="1" pivotButton="0" quotePrefix="0" xfId="0">
      <alignment horizontal="center" vertical="bottom" wrapText="1"/>
    </xf>
    <xf numFmtId="0" fontId="14" fillId="2" borderId="11" applyAlignment="1" pivotButton="0" quotePrefix="0" xfId="0">
      <alignment horizontal="center" vertical="bottom" wrapText="1"/>
    </xf>
    <xf numFmtId="0" fontId="0" fillId="0" borderId="13" pivotButton="0" quotePrefix="0" xfId="0"/>
    <xf numFmtId="0" fontId="10" fillId="3" borderId="1" applyAlignment="1" pivotButton="0" quotePrefix="0" xfId="0">
      <alignment vertical="bottom" wrapText="1"/>
    </xf>
    <xf numFmtId="0" fontId="10" fillId="3" borderId="12" applyAlignment="1" pivotButton="0" quotePrefix="0" xfId="0">
      <alignment vertical="bottom" wrapText="1"/>
    </xf>
    <xf numFmtId="0" fontId="16" fillId="2" borderId="14" applyAlignment="1" pivotButton="0" quotePrefix="0" xfId="0">
      <alignment horizontal="center" vertical="center"/>
    </xf>
    <xf numFmtId="0" fontId="0" fillId="0" borderId="15" applyAlignment="1" pivotButton="0" quotePrefix="0" xfId="0">
      <alignment vertical="center" wrapText="1"/>
    </xf>
    <xf numFmtId="0" fontId="0" fillId="0" borderId="8" pivotButton="0" quotePrefix="0" xfId="0"/>
    <xf numFmtId="0" fontId="1" fillId="2" borderId="1" applyAlignment="1" pivotButton="0" quotePrefix="0" xfId="0">
      <alignment horizontal="center" vertical="center" wrapText="1"/>
    </xf>
    <xf numFmtId="0" fontId="14" fillId="6" borderId="12" applyAlignment="1" pivotButton="0" quotePrefix="0" xfId="0">
      <alignment horizontal="center" vertical="center" wrapText="1"/>
    </xf>
    <xf numFmtId="0" fontId="18" fillId="8" borderId="1" applyAlignment="1" pivotButton="0" quotePrefix="0" xfId="0">
      <alignment vertical="center"/>
    </xf>
    <xf numFmtId="0" fontId="14" fillId="8" borderId="1" applyAlignment="1" pivotButton="0" quotePrefix="0" xfId="0">
      <alignment vertical="center"/>
    </xf>
    <xf numFmtId="0" fontId="8" fillId="8" borderId="1" pivotButton="0" quotePrefix="0" xfId="0"/>
    <xf numFmtId="0" fontId="14" fillId="2" borderId="12" applyAlignment="1" pivotButton="0" quotePrefix="0" xfId="0">
      <alignment horizontal="center" vertical="center"/>
    </xf>
  </cellXfs>
  <cellStyles count="1">
    <cellStyle name="Normal" xfId="0" builtinId="0"/>
  </cellStyles>
  <dxfs count="3">
    <dxf>
      <font/>
      <fill>
        <patternFill patternType="solid">
          <fgColor rgb="FFB7E1CD"/>
          <bgColor rgb="FFB7E1CD"/>
        </patternFill>
      </fill>
      <border/>
    </dxf>
    <dxf>
      <font/>
      <fill>
        <patternFill patternType="solid">
          <fgColor rgb="FF00FF00"/>
          <bgColor rgb="FF00FF00"/>
        </patternFill>
      </fill>
      <border/>
    </dxf>
    <dxf>
      <font/>
      <fill>
        <patternFill patternType="solid">
          <fgColor rgb="FFFF0000"/>
          <bgColor rgb="FFFF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None</author>
  </authors>
  <commentList>
    <comment ref="A7" authorId="0" shapeId="0">
      <text>
        <t>Incluir o nome da Unidade Organizacional. Caso a Unidade Organizacional esteja localizada em um único local, preencher apenas o primeiro grupo de informações abaixo: CNPJ (linha 9) e Endereço Completo da UO (linha 10). Caso ela esteja localizada em mais de um local,  DESOCULTAR as linhas abaixo e preencher os campos pertinentes (Atenção: NÃO APAGAR as linhas).</t>
      </text>
    </comment>
    <comment ref="A8" authorId="0" shapeId="0">
      <text>
        <t>Caso a UO esteja associada a apenas um local, deixar célula ao lado em branco e preencher CNPJ (linha 9) e endereço (linha 10). As linhas não utilizadas/preenchidas (entre linhas 11 e 16) podem ser ocultadas, mas não devem ser apagadas.</t>
      </text>
    </comment>
    <comment ref="A9" authorId="0" shapeId="0">
      <text>
        <t>Caso a unidade organizacional seja a própria organização, incluir o CNPJ associado com a Razão Social indicada acima. O avaliador líder deve verificar se o CNPJ está válido (em https://solucoes.receita.fazenda.gov.br/servicos/cnpjreva/cnpjreva_solicitacao.asp) e compatível com as informações de razão social e enderenço indicadas pela empresa.</t>
      </text>
    </comment>
    <comment ref="A10" authorId="0" shapeId="0">
      <text>
        <t xml:space="preserve">Incluir endereço completo: Logradouro, Bairro, Cidade, UF, País, CEP
</t>
      </text>
    </comment>
    <comment ref="A11" authorId="0" shapeId="0">
      <text>
        <t>Preencher apenas se a UO estiver distribuída em mais de um local.</t>
      </text>
    </comment>
    <comment ref="A13" authorId="0" shapeId="0">
      <text>
        <t xml:space="preserve">Incluir endereço completo: Logradouro, Bairro, Cidade, UF, País, CEP
</t>
      </text>
    </comment>
    <comment ref="A14" authorId="0" shapeId="0">
      <text>
        <t>Preencher apenas se a UO estiver distribuída em mais de um local.</t>
      </text>
    </comment>
    <comment ref="A16" authorId="0" shapeId="0">
      <text>
        <t xml:space="preserve">Incluir endereço completo: Logradouro, Bairro, Cidade, UF, País, CEP
</t>
      </text>
    </comment>
    <comment ref="A28" authorId="0" shapeId="0">
      <text>
        <t>telefone com DDD do patrocinador da avaliação</t>
      </text>
    </comment>
    <comment ref="A29" authorId="0" shapeId="0">
      <text>
        <t>celular com DDD do patrocinador da avaliação</t>
      </text>
    </comment>
    <comment ref="A30" authorId="0" shapeId="0">
      <text>
        <t>&lt;cargo do patrocinador da avaliação na unidade organizacional&gt;</t>
      </text>
    </comment>
    <comment ref="A34" authorId="0" shapeId="0">
      <text>
        <t xml:space="preserve">telefone com DDD do coordenador local
</t>
      </text>
    </comment>
    <comment ref="A35" authorId="0" shapeId="0">
      <text>
        <t>celular com DDD do coordenador local</t>
      </text>
    </comment>
    <comment ref="A36" authorId="0" shapeId="0">
      <text>
        <t>&lt;cargo do coordenador local da avaliação na unidade organizacional&gt;</t>
      </text>
    </comment>
  </commentList>
</comments>
</file>

<file path=xl/comments/comment2.xml><?xml version="1.0" encoding="utf-8"?>
<comments xmlns="http://schemas.openxmlformats.org/spreadsheetml/2006/main">
  <authors>
    <author>None</author>
  </authors>
  <commentList>
    <comment ref="C4" authorId="0" shapeId="0">
      <text>
        <t xml:space="preserve">deixar em branco, se não foi contratado C1
</t>
      </text>
    </comment>
    <comment ref="C5" authorId="0" shapeId="0">
      <text>
        <t xml:space="preserve">deixar em branco, se não foi contratado CR
</t>
      </text>
    </comment>
    <comment ref="C6" authorId="0" shapeId="0">
      <text>
        <t xml:space="preserve">deixar em branco, se não foi contratado CR
</t>
      </text>
    </comment>
    <comment ref="C7" authorId="0" shapeId="0">
      <text>
        <t xml:space="preserve">deixar em branco, se não foi contratado CR
</t>
      </text>
    </comment>
    <comment ref="A23" authorId="0" shapeId="0">
      <text>
        <t>Incluir dados dos avaliadores adjuntos. Caso não haja, informar "Não se aplica", "NA" ou "N/A".</t>
      </text>
    </comment>
    <comment ref="A26" authorId="0" shapeId="0">
      <text>
        <t>Preencher com nomes de lead appraiser em avaliação conjunta e/ou avaliadores em formação. Caso não haja, deixar em branco ou informar "Não se aplica", "NA" ou "N/A".</t>
      </text>
    </comment>
    <comment ref="A29" authorId="0" shapeId="0">
      <text>
        <t>Incluir dados dos representantes da empresa. Caso não haja, deixar em branco ou informar "Não se aplica", "NA" ou  "N/A".</t>
      </text>
    </comment>
    <comment ref="C29" authorId="0" shapeId="0">
      <text>
        <t>inserir C1 SW /  SV /RH</t>
      </text>
    </comment>
    <comment ref="A35" authorId="0" shapeId="0">
      <text>
        <t>Empresa que participa de projetos da Softex Nacional ou que seja associada a agente Softex tem desconto em avaliações oficiais MPSBR</t>
      </text>
    </comment>
    <comment ref="D35" authorId="0" shapeId="0">
      <text>
        <t xml:space="preserve">colocar o nome do projeto da SOFTEX NACIONAL em que a empresa participa
</t>
      </text>
    </comment>
    <comment ref="A36" authorId="0" shapeId="0">
      <text>
        <t>Empresa que participa de projetos da Softex Nacional ou que seja associada a agente Softex tem desconto em avaliações oficiais MPSBR</t>
      </text>
    </comment>
    <comment ref="D36" authorId="0" shapeId="0">
      <text>
        <t xml:space="preserve">incluir o nome do agente Softex ao qual a empresa é associada
</t>
      </text>
    </comment>
  </commentList>
</comments>
</file>

<file path=xl/comments/comment3.xml><?xml version="1.0" encoding="utf-8"?>
<comments xmlns="http://schemas.openxmlformats.org/spreadsheetml/2006/main">
  <authors>
    <author>None</author>
  </authors>
  <commentList>
    <comment ref="A1" authorId="0" shapeId="0">
      <text>
        <t>Caso a avaliação seja do MPS-SW, deixar visível a aba Projetos e ocultar as abas Serviços e Áreas.</t>
      </text>
    </comment>
    <comment ref="A4" authorId="0" shapeId="0">
      <text>
        <t>Caso seja necessário inserir mais linhas, inserir ANTES da penúltima linha.</t>
      </text>
    </comment>
  </commentList>
</comments>
</file>

<file path=xl/comments/comment4.xml><?xml version="1.0" encoding="utf-8"?>
<comments xmlns="http://schemas.openxmlformats.org/spreadsheetml/2006/main">
  <authors>
    <author>None</author>
  </authors>
  <commentList>
    <comment ref="A1" authorId="0" shapeId="0">
      <text>
        <t>Caso a avaliação seja do MPS-SV, deixar visível a aba Serviços e ocultar as abas Projetos e Áreas.</t>
      </text>
    </comment>
    <comment ref="A4" authorId="0" shapeId="0">
      <text>
        <t>Caso seja necessário inserir mais linhas, inserir ANTES da penúltima linha.</t>
      </text>
    </comment>
  </commentList>
</comments>
</file>

<file path=xl/comments/comment5.xml><?xml version="1.0" encoding="utf-8"?>
<comments xmlns="http://schemas.openxmlformats.org/spreadsheetml/2006/main">
  <authors>
    <author>None</author>
  </authors>
  <commentList>
    <comment ref="A1" authorId="0" shapeId="0">
      <text>
        <t>Caso a avaliação seja do MPS-RH, deixar visível a aba Áreas e ocultar as abas Projetos e Serviços.</t>
      </text>
    </comment>
    <comment ref="A4" authorId="0" shapeId="0">
      <text>
        <t>Caso seja necessário inserir mais linhas, inserir ANTES da penúltima linha.</t>
      </text>
    </comment>
  </commentList>
</comments>
</file>

<file path=xl/comments/comment6.xml><?xml version="1.0" encoding="utf-8"?>
<comments xmlns="http://schemas.openxmlformats.org/spreadsheetml/2006/main">
  <authors>
    <author>None</author>
  </authors>
  <commentList>
    <comment ref="A16" authorId="0" shapeId="0">
      <text>
        <t>São listadas apenas as instâncias selecionadas para avaliação. Ver coluna correspondente na aba PROJETO ou SERVIÇOS ou ÁREAS, conforme modelo sendo avaliado.</t>
      </text>
    </comment>
    <comment ref="B16" authorId="0" shapeId="0">
      <text>
        <t>Os dados serão automaticamente preenchidos com base no conteúdo da aba Projetos/Serviços/Áreas.</t>
      </text>
    </comment>
    <comment ref="C16" authorId="0" shapeId="0">
      <text>
        <t>Os dados serão automaticamente preenchidos com base no conteúdo da aba Projetos/Serviços/Áreas.</t>
      </text>
    </comment>
    <comment ref="D16" authorId="0" shapeId="0">
      <text>
        <t>Para o MPS-SW, indicar a fase/sprint/interação do projeto que será avaliada (p.ex.: Sprint 15).
Para o MPS-SV, indicar a referência da instância que será avaliada (p.ex.: outubro/2022). 
Para o MPS-RH, deixar em branco.</t>
      </text>
    </comment>
    <comment ref="E16" authorId="0" shapeId="0">
      <text>
        <t>Os dados serão automaticamente preenchidos com base no conteúdo da aba Projetos/Serviços/Áreas. Para o MPS-RH, deixar em branco.</t>
      </text>
    </comment>
  </commentList>
</comments>
</file>

<file path=xl/comments/comment7.xml><?xml version="1.0" encoding="utf-8"?>
<comments xmlns="http://schemas.openxmlformats.org/spreadsheetml/2006/main">
  <authors>
    <author>None</author>
  </authors>
  <commentList>
    <comment ref="C3" authorId="0" shapeId="0">
      <text>
        <t>Informar o nome do processo utilizado na organização. Caso pertinente, informar entre parêntesis o nome do processo MPS correspondente.</t>
      </text>
    </comment>
  </commentList>
</comments>
</file>

<file path=xl/comments/comment8.xml><?xml version="1.0" encoding="utf-8"?>
<comments xmlns="http://schemas.openxmlformats.org/spreadsheetml/2006/main">
  <authors>
    <author>None</author>
  </authors>
  <commentList>
    <comment ref="C10" authorId="0" shapeId="0">
      <text>
        <t>Se o parecer nao foi aprovado, inserir a justificativa, senão deixar em branco. Uma justificativa clara e objetiva é obrigatória quando há dúvidas.</t>
      </text>
    </comment>
    <comment ref="A11" authorId="0" shapeId="0">
      <text>
        <t>Este item deve ser preenchido após o avaliador ter tido um período para ajustes dos problemas encontrados. APROVADO significa que  não houve necessidade de ajustes ou que estes foram realizados e que pode ser realizada a avaliação final. NÂO APROVADO significa que há necessidade de auditoria presencial</t>
      </text>
    </comment>
    <comment ref="E13" authorId="0" shapeId="0">
      <text>
        <t>Colocar a data em que a correção foi finalizada.</t>
      </text>
    </comment>
    <comment ref="C29" authorId="0" shapeId="0">
      <text>
        <t>Se o parecer nao foi aprovado, inserir a justificativa, senão deixar em branco. Uma justificativa clara e objetiva é obrigatória quando há dúvidas.</t>
      </text>
    </comment>
    <comment ref="A30" authorId="0" shapeId="0">
      <text>
        <t>Este item deve ser preenchido após o avaliador ter tido um período para ajustes dos problemas encontrados. APROVADO significa que  não houve necessidade de ajustes ou que estes foram realizados e que pode ser realizada a avaliação final. NÂO APROVADO significa que há necessidade de auditoria presencial</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drawing1.xml><?xml version="1.0" encoding="utf-8"?>
<wsDr xmlns="http://schemas.openxmlformats.org/drawingml/2006/spreadsheetDrawing">
  <oneCellAnchor>
    <from>
      <col>0</col>
      <colOff>0</colOff>
      <row>0</row>
      <rowOff>0</rowOff>
    </from>
    <ext cx="2562225" cy="619125"/>
    <pic>
      <nvPicPr>
        <cNvPr id="0" name="image2.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2276475</colOff>
      <row>0</row>
      <rowOff>0</rowOff>
    </from>
    <ext cx="1714500" cy="695325"/>
    <pic>
      <nvPicPr>
        <cNvPr id="0" name="image1.jp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609600</colOff>
      <row>0</row>
      <rowOff>123825</rowOff>
    </from>
    <ext cx="1485900" cy="485775"/>
    <pic>
      <nvPicPr>
        <cNvPr id="0" name="image3.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419100</colOff>
      <row>0</row>
      <rowOff>104775</rowOff>
    </from>
    <ext cx="2047875" cy="619125"/>
    <pic>
      <nvPicPr>
        <cNvPr id="0" name="image4.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419100</colOff>
      <row>0</row>
      <rowOff>104775</rowOff>
    </from>
    <ext cx="2047875" cy="619125"/>
    <pic>
      <nvPicPr>
        <cNvPr id="0" name="image4.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200025</colOff>
      <row>0</row>
      <rowOff>171450</rowOff>
    </from>
    <ext cx="1485900" cy="485775"/>
    <pic>
      <nvPicPr>
        <cNvPr id="0" name="image3.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419100</colOff>
      <row>0</row>
      <rowOff>104775</rowOff>
    </from>
    <ext cx="2047875" cy="619125"/>
    <pic>
      <nvPicPr>
        <cNvPr id="0" name="image4.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142875</colOff>
      <row>0</row>
      <rowOff>152400</rowOff>
    </from>
    <ext cx="1485900" cy="485775"/>
    <pic>
      <nvPicPr>
        <cNvPr id="0" name="image3.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419100</colOff>
      <row>0</row>
      <rowOff>104775</rowOff>
    </from>
    <ext cx="2047875" cy="619125"/>
    <pic>
      <nvPicPr>
        <cNvPr id="0" name="image4.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723900</colOff>
      <row>0</row>
      <rowOff>171450</rowOff>
    </from>
    <ext cx="1485900" cy="485775"/>
    <pic>
      <nvPicPr>
        <cNvPr id="0" name="image3.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0</col>
      <colOff>419100</colOff>
      <row>0</row>
      <rowOff>104775</rowOff>
    </from>
    <ext cx="2047875" cy="619125"/>
    <pic>
      <nvPicPr>
        <cNvPr id="0" name="image4.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390525</colOff>
      <row>0</row>
      <rowOff>171450</rowOff>
    </from>
    <ext cx="1485900" cy="485775"/>
    <pic>
      <nvPicPr>
        <cNvPr id="0" name="image3.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drawing" Target="/xl/drawings/drawing3.xml" Id="rId1"/></Relationships>
</file>

<file path=xl/worksheets/_rels/sheet14.xml.rels><Relationships xmlns="http://schemas.openxmlformats.org/package/2006/relationships"><Relationship Type="http://schemas.openxmlformats.org/officeDocument/2006/relationships/drawing" Target="/xl/drawings/drawing4.xml" Id="rId1"/></Relationships>
</file>

<file path=xl/worksheets/_rels/sheet15.xml.rels><Relationships xmlns="http://schemas.openxmlformats.org/package/2006/relationships"><Relationship Type="http://schemas.openxmlformats.org/officeDocument/2006/relationships/drawing" Target="/xl/drawings/drawing5.xml" Id="rId1"/></Relationships>
</file>

<file path=xl/worksheets/_rels/sheet16.xml.rels><Relationships xmlns="http://schemas.openxmlformats.org/package/2006/relationships"><Relationship Type="http://schemas.openxmlformats.org/officeDocument/2006/relationships/drawing" Target="/xl/drawings/drawing6.xml" Id="rId1"/></Relationships>
</file>

<file path=xl/worksheets/_rels/sheet18.xml.rels><Relationships xmlns="http://schemas.openxmlformats.org/package/2006/relationships"><Relationship Type="http://schemas.openxmlformats.org/officeDocument/2006/relationships/hyperlink" Target="https://solucoes.receita.fazenda.gov.br/servicos/cnpjreva/cnpjreva_solicitacao.asp" TargetMode="Externa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rgb="FF00FF00"/>
    <outlinePr summaryBelow="0" summaryRight="0"/>
    <pageSetUpPr/>
  </sheetPr>
  <dimension ref="A1:B36"/>
  <sheetViews>
    <sheetView showGridLines="0" workbookViewId="0">
      <pane ySplit="2" topLeftCell="A3" activePane="bottomLeft" state="frozen"/>
      <selection pane="bottomLeft" activeCell="B4" sqref="B4"/>
    </sheetView>
  </sheetViews>
  <sheetFormatPr baseColWidth="8" defaultColWidth="12.63" defaultRowHeight="15.75" customHeight="1"/>
  <cols>
    <col width="39.5" customWidth="1" style="384" min="1" max="1"/>
    <col width="51.38" customWidth="1" style="384" min="2" max="2"/>
  </cols>
  <sheetData>
    <row r="1">
      <c r="A1" s="1" t="inlineStr">
        <is>
          <t>DADOS DA EMPRESA</t>
        </is>
      </c>
    </row>
    <row r="2" ht="7.5" customHeight="1" s="384">
      <c r="A2" s="3" t="n"/>
      <c r="B2" s="3" t="n"/>
    </row>
    <row r="3">
      <c r="A3" s="4" t="inlineStr">
        <is>
          <t>Razão Social:</t>
        </is>
      </c>
      <c r="B3" s="11" t="inlineStr">
        <is>
          <t>Timeware Brasil Softwares e Serviços LTDA</t>
        </is>
      </c>
    </row>
    <row r="4">
      <c r="A4" s="4" t="inlineStr">
        <is>
          <t>Ano de fundação da organização:</t>
        </is>
      </c>
      <c r="B4" s="6" t="n">
        <v>2019</v>
      </c>
    </row>
    <row r="5">
      <c r="A5" s="4" t="inlineStr">
        <is>
          <t>Cidade:</t>
        </is>
      </c>
      <c r="B5" s="11" t="inlineStr">
        <is>
          <t>São Paulo</t>
        </is>
      </c>
    </row>
    <row r="6">
      <c r="A6" s="4" t="inlineStr">
        <is>
          <t>UF:</t>
        </is>
      </c>
      <c r="B6" s="10" t="inlineStr">
        <is>
          <t>SP</t>
        </is>
      </c>
    </row>
    <row r="7">
      <c r="A7" s="4" t="inlineStr">
        <is>
          <t>Unidade Organizacional (UO):</t>
        </is>
      </c>
      <c r="B7" s="11" t="inlineStr">
        <is>
          <t>Fábrica de Software</t>
        </is>
      </c>
    </row>
    <row r="8" hidden="1" s="384">
      <c r="A8" s="4" t="inlineStr">
        <is>
          <t xml:space="preserve">       1o Local:</t>
        </is>
      </c>
      <c r="B8" s="10" t="n"/>
    </row>
    <row r="9">
      <c r="A9" s="8" t="inlineStr">
        <is>
          <t>CNPJ:</t>
        </is>
      </c>
      <c r="B9" s="9" t="inlineStr">
        <is>
          <t>34.028.046/0001-30</t>
        </is>
      </c>
    </row>
    <row r="10" ht="32.25" customHeight="1" s="384">
      <c r="A10" s="8" t="inlineStr">
        <is>
          <t>Endereço Completo da UO:
(logradouro, cidade, estado, país, CEP)</t>
        </is>
      </c>
      <c r="B10" s="11" t="inlineStr">
        <is>
          <t>Av. Pres. Juscelino Kubitschek, 2041, Bloco B, Andar 5, Sala 5070, Vila Nova Conceição, São Paulo/SP, Brasil, CEP 04543-011</t>
        </is>
      </c>
    </row>
    <row r="11" hidden="1" s="384">
      <c r="A11" s="4" t="inlineStr">
        <is>
          <t xml:space="preserve">       2o Local (opcional):</t>
        </is>
      </c>
      <c r="B11" s="10" t="n"/>
    </row>
    <row r="12" hidden="1" s="384">
      <c r="A12" s="8" t="inlineStr">
        <is>
          <t>CNPJ:</t>
        </is>
      </c>
      <c r="B12" s="9" t="n"/>
    </row>
    <row r="13" hidden="1" ht="33.75" customHeight="1" s="384">
      <c r="A13" s="8" t="inlineStr">
        <is>
          <t>Endereço Completo da UO:
(logradouro, cidade, estado, país, CEP)</t>
        </is>
      </c>
      <c r="B13" s="10" t="n"/>
    </row>
    <row r="14" hidden="1" s="384">
      <c r="A14" s="4" t="inlineStr">
        <is>
          <t xml:space="preserve">       3o Local (opcional):</t>
        </is>
      </c>
      <c r="B14" s="10" t="n"/>
    </row>
    <row r="15" hidden="1" s="384">
      <c r="A15" s="8" t="inlineStr">
        <is>
          <t>CNPJ:</t>
        </is>
      </c>
      <c r="B15" s="9" t="n"/>
    </row>
    <row r="16" hidden="1" ht="33.75" customHeight="1" s="384">
      <c r="A16" s="8" t="inlineStr">
        <is>
          <t>Endereço Completo da UO:
(logradouro, cidade, estado, país, CEP)</t>
        </is>
      </c>
      <c r="B16" s="10" t="n"/>
    </row>
    <row r="17" ht="33.75" customHeight="1" s="384">
      <c r="A17" s="4">
        <f t="array" ref="A17">"No. de colaboradores da UO envolvidos com " &amp; INDIRECT("Processos" &amp; SIGLA_MODELO()) &amp; ":"</f>
        <v/>
      </c>
      <c r="B17" s="10" t="n">
        <v>21</v>
      </c>
    </row>
    <row r="18" ht="43.5" customHeight="1" s="384">
      <c r="A18" s="4" t="inlineStr">
        <is>
          <t xml:space="preserve">Descrição das atividades da UO: </t>
        </is>
      </c>
      <c r="B18" s="11" t="inlineStr">
        <is>
          <t>Unidade responsável pelo desenvolvimento, manutenção e sustentação de sistemas e soluções de software para clientes públicos e privados.</t>
        </is>
      </c>
    </row>
    <row r="19">
      <c r="A19" s="4" t="inlineStr">
        <is>
          <t>Site:</t>
        </is>
      </c>
      <c r="B19" s="12" t="inlineStr">
        <is>
          <t>https://timeware.com.br/</t>
        </is>
      </c>
    </row>
    <row r="20">
      <c r="A20" s="4" t="inlineStr">
        <is>
          <t>Facebook:</t>
        </is>
      </c>
      <c r="B20" s="19" t="n"/>
    </row>
    <row r="21">
      <c r="A21" s="4" t="inlineStr">
        <is>
          <t>Natureza Jurídica:</t>
        </is>
      </c>
      <c r="B21" s="14" t="inlineStr">
        <is>
          <t>Sociedade Empresária Limitada</t>
        </is>
      </c>
    </row>
    <row r="22">
      <c r="A22" s="4" t="inlineStr">
        <is>
          <t>CNAE principal da Empresa (Classificação Nacional de Atividades Econômicas):</t>
        </is>
      </c>
      <c r="B22" s="10" t="inlineStr">
        <is>
          <t>62.01-5-01</t>
        </is>
      </c>
    </row>
    <row r="23">
      <c r="A23" s="4" t="inlineStr">
        <is>
          <t>Faixa da Receita operacional bruta anual da empresa, no ano ANTERIOR, de acordo com a classificação do BNDES:</t>
        </is>
      </c>
      <c r="B23" s="15" t="inlineStr">
        <is>
          <t>Pequena empresa (Maior que R$ 2,4 milhões e menor ou igual a R$ 16 milhões)</t>
        </is>
      </c>
    </row>
    <row r="24">
      <c r="A24" s="4" t="inlineStr">
        <is>
          <t>Porte da empresa com base no número de empregados de acordo com o SEBRAE (Comércio e Serviços):</t>
        </is>
      </c>
      <c r="B24" s="15" t="inlineStr">
        <is>
          <t>Média empresa (de 50 a 99)</t>
        </is>
      </c>
    </row>
    <row r="25">
      <c r="A25" s="385" t="inlineStr">
        <is>
          <t>Patrocinador da avaliação</t>
        </is>
      </c>
      <c r="B25" s="386" t="n"/>
    </row>
    <row r="26">
      <c r="A26" s="8" t="inlineStr">
        <is>
          <t xml:space="preserve">Nome completo: </t>
        </is>
      </c>
      <c r="B26" s="18" t="inlineStr">
        <is>
          <t>Tiago Barbosa Nascimento</t>
        </is>
      </c>
    </row>
    <row r="27">
      <c r="A27" s="8" t="inlineStr">
        <is>
          <t xml:space="preserve">E-mail: </t>
        </is>
      </c>
      <c r="B27" s="19" t="inlineStr">
        <is>
          <t>tiago.nascimento@timeware.com.br</t>
        </is>
      </c>
    </row>
    <row r="28">
      <c r="A28" s="8" t="inlineStr">
        <is>
          <t xml:space="preserve">Telefone comercial: </t>
        </is>
      </c>
      <c r="B28" s="19" t="inlineStr">
        <is>
          <t>55 11 97631-4331</t>
        </is>
      </c>
    </row>
    <row r="29">
      <c r="A29" s="8" t="inlineStr">
        <is>
          <t>Telefone celular:</t>
        </is>
      </c>
      <c r="B29" s="19" t="inlineStr">
        <is>
          <t>55 11 97631-4331</t>
        </is>
      </c>
    </row>
    <row r="30">
      <c r="A30" s="8" t="inlineStr">
        <is>
          <t xml:space="preserve">Cargo: </t>
        </is>
      </c>
      <c r="B30" s="20" t="inlineStr">
        <is>
          <t>Founder e CEO</t>
        </is>
      </c>
    </row>
    <row r="31">
      <c r="A31" s="385" t="inlineStr">
        <is>
          <t>Coordenador Local da avaliação:</t>
        </is>
      </c>
      <c r="B31" s="386" t="n"/>
    </row>
    <row r="32">
      <c r="A32" s="8" t="inlineStr">
        <is>
          <t xml:space="preserve">Nome completo: </t>
        </is>
      </c>
      <c r="B32" s="12" t="inlineStr">
        <is>
          <t>Abraão Alves de Oliveira</t>
        </is>
      </c>
    </row>
    <row r="33">
      <c r="A33" s="8" t="inlineStr">
        <is>
          <t xml:space="preserve">E-mail: </t>
        </is>
      </c>
      <c r="B33" s="19" t="inlineStr">
        <is>
          <t>abraao.oliveira@timeware.com.br</t>
        </is>
      </c>
    </row>
    <row r="34">
      <c r="A34" s="8" t="inlineStr">
        <is>
          <t xml:space="preserve">Telefone comercial: </t>
        </is>
      </c>
      <c r="B34" s="10" t="inlineStr">
        <is>
          <t>55 11 95499-6078</t>
        </is>
      </c>
    </row>
    <row r="35">
      <c r="A35" s="8" t="inlineStr">
        <is>
          <t>Telefone celular:</t>
        </is>
      </c>
      <c r="B35" s="10" t="inlineStr">
        <is>
          <t>55 11 95499-6078</t>
        </is>
      </c>
    </row>
    <row r="36">
      <c r="A36" s="8" t="inlineStr">
        <is>
          <t xml:space="preserve">Cargo: </t>
        </is>
      </c>
      <c r="B36" s="10" t="inlineStr">
        <is>
          <t>Gerente Comercial e de Operações</t>
        </is>
      </c>
    </row>
  </sheetData>
  <mergeCells count="3">
    <mergeCell ref="A25:B25"/>
    <mergeCell ref="A31:B31"/>
    <mergeCell ref="A1:B1"/>
  </mergeCells>
  <dataValidations count="3">
    <dataValidation sqref="B23" showDropDown="0" showInputMessage="0" showErrorMessage="0" allowBlank="1" type="list">
      <formula1>FaixaReceitaOperacional</formula1>
    </dataValidation>
    <dataValidation sqref="B24" showDropDown="0" showInputMessage="0" showErrorMessage="0" allowBlank="1" type="list">
      <formula1>PorteEmpresa</formula1>
    </dataValidation>
    <dataValidation sqref="B6" showDropDown="0" showInputMessage="0" showErrorMessage="1" allowBlank="1" type="list">
      <formula1>SiglasUF</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E37"/>
  <sheetViews>
    <sheetView showGridLines="0" workbookViewId="0">
      <pane ySplit="2" topLeftCell="A3" activePane="bottomLeft" state="frozen"/>
      <selection pane="bottomLeft" activeCell="B4" sqref="B4"/>
    </sheetView>
  </sheetViews>
  <sheetFormatPr baseColWidth="8" defaultColWidth="12.63" defaultRowHeight="15.75" customHeight="1"/>
  <cols>
    <col width="24.38" customWidth="1" style="384" min="1" max="1"/>
    <col width="21" customWidth="1" style="384" min="2" max="2"/>
    <col width="16.13" customWidth="1" style="384" min="3" max="3"/>
    <col width="21.63" customWidth="1" style="384" min="4" max="4"/>
    <col width="28.38" customWidth="1" style="384" min="5" max="5"/>
  </cols>
  <sheetData>
    <row r="1">
      <c r="A1" s="387" t="inlineStr">
        <is>
          <t>DADOS PARA AVALIAÇÃO</t>
        </is>
      </c>
      <c r="B1" s="388" t="n"/>
      <c r="C1" s="388" t="n"/>
      <c r="D1" s="388" t="n"/>
      <c r="E1" s="389" t="n"/>
    </row>
    <row r="2" ht="6" customHeight="1" s="384">
      <c r="A2" s="24" t="n"/>
      <c r="B2" s="25" t="n"/>
      <c r="C2" s="268" t="n"/>
      <c r="D2" s="268" t="n"/>
      <c r="E2" s="27" t="n"/>
    </row>
    <row r="3">
      <c r="A3" s="120" t="inlineStr">
        <is>
          <t>Serviços Contratados</t>
        </is>
      </c>
      <c r="B3" s="390" t="n"/>
      <c r="C3" s="390" t="n"/>
      <c r="D3" s="390" t="n"/>
      <c r="E3" s="386" t="n"/>
    </row>
    <row r="4">
      <c r="A4" s="32" t="inlineStr">
        <is>
          <t>Curso de Introdução (C1-MPS)</t>
        </is>
      </c>
      <c r="B4" s="386" t="n"/>
      <c r="C4" s="31" t="inlineStr">
        <is>
          <t>Não se aplica</t>
        </is>
      </c>
      <c r="D4" s="32" t="inlineStr">
        <is>
          <t>Data do curso:</t>
        </is>
      </c>
      <c r="E4" s="33" t="n"/>
    </row>
    <row r="5">
      <c r="A5" s="32" t="inlineStr">
        <is>
          <t>Curso de Preparação de Representante da Empresa (CR-MPS) - Níveis G e F</t>
        </is>
      </c>
      <c r="B5" s="386" t="n"/>
      <c r="C5" s="31" t="inlineStr">
        <is>
          <t>Sim</t>
        </is>
      </c>
      <c r="D5" s="32" t="inlineStr">
        <is>
          <t>Data do curso:</t>
        </is>
      </c>
      <c r="E5" s="34" t="n">
        <v>46191</v>
      </c>
    </row>
    <row r="6">
      <c r="A6" s="32" t="inlineStr">
        <is>
          <t>Curso de Preparação de Representante da Empresa (CR-MPS) - Níveis E, D e C</t>
        </is>
      </c>
      <c r="B6" s="386" t="n"/>
      <c r="C6" s="31" t="inlineStr">
        <is>
          <t>Sim</t>
        </is>
      </c>
      <c r="D6" s="32" t="inlineStr">
        <is>
          <t>Data do curso:</t>
        </is>
      </c>
      <c r="E6" s="34" t="n">
        <v>46191</v>
      </c>
    </row>
    <row r="7">
      <c r="A7" s="32" t="inlineStr">
        <is>
          <t>Curso de Preparação de Representante da Empresa (CR-MPS) - Níveis B e A</t>
        </is>
      </c>
      <c r="B7" s="386" t="n"/>
      <c r="C7" s="31" t="inlineStr">
        <is>
          <t>Não se aplica</t>
        </is>
      </c>
      <c r="D7" s="32" t="inlineStr">
        <is>
          <t>Data do curso:</t>
        </is>
      </c>
      <c r="E7" s="33" t="n"/>
    </row>
    <row r="8">
      <c r="A8" s="120" t="inlineStr">
        <is>
          <t>Escopo da Avaliação</t>
        </is>
      </c>
      <c r="B8" s="390" t="n"/>
      <c r="C8" s="390" t="n"/>
      <c r="D8" s="390" t="n"/>
      <c r="E8" s="386" t="n"/>
    </row>
    <row r="9">
      <c r="A9" s="30" t="inlineStr">
        <is>
          <t>Modelo a ser avaliado:</t>
        </is>
      </c>
      <c r="B9" s="31" t="inlineStr">
        <is>
          <t>MPS-SW Versão 2024</t>
        </is>
      </c>
      <c r="C9" s="390" t="n"/>
      <c r="D9" s="390" t="n"/>
      <c r="E9" s="386" t="n"/>
    </row>
    <row r="10">
      <c r="A10" s="30" t="inlineStr">
        <is>
          <t>Nível solicitado:</t>
        </is>
      </c>
      <c r="B10" s="31" t="inlineStr">
        <is>
          <t>C - Definido</t>
        </is>
      </c>
      <c r="C10" s="390" t="n"/>
      <c r="D10" s="390" t="n"/>
      <c r="E10" s="386" t="n"/>
    </row>
    <row r="11" ht="16.5" customHeight="1" s="384">
      <c r="A11" s="30" t="inlineStr">
        <is>
          <t xml:space="preserve">Método de avaliação: </t>
        </is>
      </c>
      <c r="B11" s="39" t="inlineStr">
        <is>
          <t>MA-MPS (Guia de Avaliação:2024)</t>
        </is>
      </c>
      <c r="C11" s="390" t="n"/>
      <c r="D11" s="390" t="n"/>
      <c r="E11" s="386" t="n"/>
    </row>
    <row r="12">
      <c r="A12" s="30" t="inlineStr">
        <is>
          <t>Data avaliação inicial:</t>
        </is>
      </c>
      <c r="B12" s="38" t="n">
        <v>46195</v>
      </c>
      <c r="C12" s="386" t="n"/>
      <c r="D12" s="32" t="inlineStr">
        <is>
          <t>Data final avaliação inicial:</t>
        </is>
      </c>
      <c r="E12" s="38" t="n">
        <v>46197</v>
      </c>
    </row>
    <row r="13">
      <c r="A13" s="30" t="inlineStr">
        <is>
          <t>Data avaliação final:</t>
        </is>
      </c>
      <c r="B13" s="38" t="n">
        <v>46216</v>
      </c>
      <c r="C13" s="386" t="n"/>
      <c r="D13" s="32" t="inlineStr">
        <is>
          <t>Data final avaliação final:</t>
        </is>
      </c>
      <c r="E13" s="38" t="n">
        <v>46217</v>
      </c>
    </row>
    <row r="14" ht="16.5" customHeight="1" s="384">
      <c r="A14" s="30" t="inlineStr">
        <is>
          <t xml:space="preserve">Formato da avaliação inicial: </t>
        </is>
      </c>
      <c r="B14" s="39" t="inlineStr">
        <is>
          <t>Remoto</t>
        </is>
      </c>
      <c r="C14" s="386" t="n"/>
      <c r="D14" s="30" t="inlineStr">
        <is>
          <t xml:space="preserve">Formato da avaliação final: </t>
        </is>
      </c>
      <c r="E14" s="39" t="inlineStr">
        <is>
          <t>Remoto</t>
        </is>
      </c>
    </row>
    <row r="15" ht="16.5" customHeight="1" s="384">
      <c r="A15" s="120" t="inlineStr">
        <is>
          <t>Instituições Envolvidas</t>
        </is>
      </c>
      <c r="B15" s="390" t="n"/>
      <c r="C15" s="390" t="n"/>
      <c r="D15" s="390" t="n"/>
      <c r="E15" s="386" t="n"/>
    </row>
    <row r="16" ht="19.5" customHeight="1" s="384">
      <c r="A16" s="32" t="inlineStr">
        <is>
          <t>IA (Razão Social):</t>
        </is>
      </c>
      <c r="B16" s="18" t="inlineStr">
        <is>
          <t>ASR CONSULTORIA E ASSESSORIA EM QUALIDADE LTDA</t>
        </is>
      </c>
      <c r="C16" s="390" t="n"/>
      <c r="D16" s="390" t="n"/>
      <c r="E16" s="386" t="n"/>
    </row>
    <row r="17">
      <c r="A17" s="4" t="inlineStr">
        <is>
          <t>IOGE:</t>
        </is>
      </c>
      <c r="B17" s="10" t="inlineStr">
        <is>
          <t>Não se aplica</t>
        </is>
      </c>
      <c r="C17" s="390" t="n"/>
      <c r="D17" s="390" t="n"/>
      <c r="E17" s="386" t="n"/>
    </row>
    <row r="18">
      <c r="A18" s="4" t="inlineStr">
        <is>
          <t>II:</t>
        </is>
      </c>
      <c r="B18" s="10" t="inlineStr">
        <is>
          <t>Não se aplica</t>
        </is>
      </c>
      <c r="C18" s="390" t="n"/>
      <c r="D18" s="390" t="n"/>
      <c r="E18" s="386" t="n"/>
    </row>
    <row r="19">
      <c r="A19" s="4" t="inlineStr">
        <is>
          <t>Nome do Implementador Credenciado:</t>
        </is>
      </c>
      <c r="B19" s="10" t="inlineStr">
        <is>
          <t>Não se aplica</t>
        </is>
      </c>
      <c r="C19" s="390" t="n"/>
      <c r="D19" s="390" t="n"/>
      <c r="E19" s="386" t="n"/>
    </row>
    <row r="20">
      <c r="A20" s="120" t="inlineStr">
        <is>
          <t>Composição da Equipe de Avaliação</t>
        </is>
      </c>
      <c r="B20" s="390" t="n"/>
      <c r="C20" s="390" t="n"/>
      <c r="D20" s="390" t="n"/>
      <c r="E20" s="386" t="n"/>
    </row>
    <row r="21">
      <c r="A21" s="32" t="inlineStr">
        <is>
          <t xml:space="preserve">Avaliador líder: </t>
        </is>
      </c>
      <c r="B21" s="31" t="inlineStr">
        <is>
          <t>Ana Zabeu</t>
        </is>
      </c>
      <c r="C21" s="386" t="n"/>
      <c r="D21" s="31" t="inlineStr">
        <is>
          <t>E-mail:</t>
        </is>
      </c>
      <c r="E21" s="31" t="inlineStr">
        <is>
          <t>anazabeu@asrconsultoria.com.br</t>
        </is>
      </c>
    </row>
    <row r="22">
      <c r="A22" s="32" t="inlineStr">
        <is>
          <t>Observador do Avaliador líder:</t>
        </is>
      </c>
      <c r="B22" s="10" t="inlineStr">
        <is>
          <t>Não se aplica</t>
        </is>
      </c>
      <c r="C22" s="386" t="n"/>
      <c r="D22" s="31" t="inlineStr">
        <is>
          <t>E-mail:</t>
        </is>
      </c>
      <c r="E22" s="31" t="n"/>
    </row>
    <row r="23">
      <c r="A23" s="32" t="inlineStr">
        <is>
          <t>Avaliador adjunto da IA (1):</t>
        </is>
      </c>
      <c r="B23" s="35" t="inlineStr">
        <is>
          <t>Johnny Marques</t>
        </is>
      </c>
      <c r="C23" s="42" t="n"/>
      <c r="D23" s="31" t="inlineStr">
        <is>
          <t>E-mail:</t>
        </is>
      </c>
      <c r="E23" s="31" t="inlineStr">
        <is>
          <t>johnnymarques@asrconsultoria.com.br</t>
        </is>
      </c>
    </row>
    <row r="24">
      <c r="A24" s="32" t="inlineStr">
        <is>
          <t>Avaliador adjunto da IA (2):</t>
        </is>
      </c>
      <c r="B24" s="10" t="inlineStr">
        <is>
          <t>Não se aplica</t>
        </is>
      </c>
      <c r="C24" s="386" t="n"/>
      <c r="D24" s="31" t="inlineStr">
        <is>
          <t>E-mail:</t>
        </is>
      </c>
      <c r="E24" s="31" t="n"/>
    </row>
    <row r="25">
      <c r="A25" s="32" t="inlineStr">
        <is>
          <t>Avaliador adjunto da IA (3):</t>
        </is>
      </c>
      <c r="B25" s="10" t="inlineStr">
        <is>
          <t>Não se aplica</t>
        </is>
      </c>
      <c r="C25" s="386" t="n"/>
      <c r="D25" s="31" t="inlineStr">
        <is>
          <t>E-mail:</t>
        </is>
      </c>
      <c r="E25" s="31" t="n"/>
    </row>
    <row r="26">
      <c r="A26" s="32" t="inlineStr">
        <is>
          <t>Outros avaliadores (1):</t>
        </is>
      </c>
      <c r="B26" s="10" t="inlineStr">
        <is>
          <t>Não se aplica</t>
        </is>
      </c>
      <c r="C26" s="386" t="n"/>
      <c r="D26" s="31" t="inlineStr">
        <is>
          <t>E-mail:</t>
        </is>
      </c>
      <c r="E26" s="31" t="n"/>
    </row>
    <row r="27">
      <c r="A27" s="32" t="inlineStr">
        <is>
          <t>Outros avaliadores (2):</t>
        </is>
      </c>
      <c r="B27" s="10" t="inlineStr">
        <is>
          <t>Não se aplica</t>
        </is>
      </c>
      <c r="C27" s="386" t="n"/>
      <c r="D27" s="31" t="inlineStr">
        <is>
          <t>E-mail:</t>
        </is>
      </c>
      <c r="E27" s="31" t="n"/>
    </row>
    <row r="28">
      <c r="A28" s="120" t="inlineStr">
        <is>
          <t>Representante(s) da Unidade Organizacional:</t>
        </is>
      </c>
      <c r="B28" s="390" t="n"/>
      <c r="C28" s="390" t="n"/>
      <c r="D28" s="390" t="n"/>
      <c r="E28" s="386" t="n"/>
    </row>
    <row r="29">
      <c r="A29" s="43" t="inlineStr">
        <is>
          <t>Nome do Representante</t>
        </is>
      </c>
      <c r="B29" s="43" t="inlineStr">
        <is>
          <t xml:space="preserve">E-mail </t>
        </is>
      </c>
      <c r="C29" s="43" t="inlineStr">
        <is>
          <t xml:space="preserve">Tipo de Curso </t>
        </is>
      </c>
      <c r="D29" s="43" t="inlineStr">
        <is>
          <t>Local do Curso (Cidade/UF)</t>
        </is>
      </c>
      <c r="E29" s="43" t="inlineStr">
        <is>
          <t>Data do Curso</t>
        </is>
      </c>
    </row>
    <row r="30">
      <c r="A30" s="267" t="inlineStr">
        <is>
          <t>Cezar Hiraki</t>
        </is>
      </c>
      <c r="B30" s="267" t="inlineStr">
        <is>
          <t xml:space="preserve">cezar.hiraki@timeware.com.br </t>
        </is>
      </c>
      <c r="C30" s="124" t="inlineStr">
        <is>
          <t>SW</t>
        </is>
      </c>
      <c r="D30" s="124" t="inlineStr">
        <is>
          <t>remoto</t>
        </is>
      </c>
      <c r="E30" s="46" t="n">
        <v>46191</v>
      </c>
    </row>
    <row r="31">
      <c r="A31" s="47" t="n"/>
      <c r="B31" s="31" t="n"/>
      <c r="C31" s="124" t="n"/>
      <c r="D31" s="124" t="n"/>
      <c r="E31" s="46" t="n"/>
    </row>
    <row r="32">
      <c r="A32" s="47" t="n"/>
      <c r="B32" s="31" t="n"/>
      <c r="C32" s="124" t="n"/>
      <c r="D32" s="124" t="n"/>
      <c r="E32" s="46" t="n"/>
    </row>
    <row r="33">
      <c r="A33" s="342" t="inlineStr">
        <is>
          <t>CONTRIBUIÇÃO A SER PAGA À SOFTEX</t>
        </is>
      </c>
      <c r="B33" s="390" t="n"/>
      <c r="C33" s="390" t="n"/>
      <c r="D33" s="390" t="n"/>
      <c r="E33" s="386" t="n"/>
    </row>
    <row r="34">
      <c r="A34" s="345" t="inlineStr">
        <is>
          <t>Indicar instituição que fará o pagamento</t>
        </is>
      </c>
      <c r="B34" s="391" t="n"/>
      <c r="C34" s="92" t="inlineStr">
        <is>
          <t>a empresa</t>
        </is>
      </c>
      <c r="D34" s="390" t="n"/>
      <c r="E34" s="386" t="n"/>
    </row>
    <row r="35">
      <c r="A35" s="345" t="inlineStr">
        <is>
          <t>Participa de projeto da Softex Nacional?</t>
        </is>
      </c>
      <c r="B35" s="391" t="n"/>
      <c r="C35" s="53" t="inlineStr">
        <is>
          <t>Não</t>
        </is>
      </c>
      <c r="D35" s="54" t="n"/>
      <c r="E35" s="392" t="inlineStr">
        <is>
          <t>VALOR TOTAL</t>
        </is>
      </c>
    </row>
    <row r="36">
      <c r="A36" s="364" t="inlineStr">
        <is>
          <t>Empresa associada a agente Softex?</t>
        </is>
      </c>
      <c r="B36" s="386" t="n"/>
      <c r="C36" s="57" t="inlineStr">
        <is>
          <t>Não</t>
        </is>
      </c>
      <c r="D36" s="54" t="n"/>
      <c r="E36" s="391" t="n"/>
    </row>
    <row r="37">
      <c r="A37" s="58" t="n"/>
      <c r="B37" s="58" t="n"/>
      <c r="C37" s="59" t="n"/>
      <c r="D37" s="270" t="inlineStr">
        <is>
          <t>VALOR</t>
        </is>
      </c>
      <c r="E37" s="61">
        <f>IF(OR(C35="Sim", C36="Sim"),VLOOKUP(NivelSolicitado,TaxasSOFTEX,3,FALSE), VLOOKUP(NivelSolicitado,TaxasSOFTEX,2,FALSE))</f>
        <v/>
      </c>
    </row>
  </sheetData>
  <mergeCells count="32">
    <mergeCell ref="B9:E9"/>
    <mergeCell ref="B25:C25"/>
    <mergeCell ref="A15:E15"/>
    <mergeCell ref="B22:C22"/>
    <mergeCell ref="A1:E1"/>
    <mergeCell ref="A36:B36"/>
    <mergeCell ref="B27:C27"/>
    <mergeCell ref="A6:B6"/>
    <mergeCell ref="B12:C12"/>
    <mergeCell ref="B21:C21"/>
    <mergeCell ref="E35:E36"/>
    <mergeCell ref="A7:B7"/>
    <mergeCell ref="B16:E16"/>
    <mergeCell ref="B14:C14"/>
    <mergeCell ref="A3:E3"/>
    <mergeCell ref="B13:C13"/>
    <mergeCell ref="B18:E18"/>
    <mergeCell ref="A5:B5"/>
    <mergeCell ref="A33:E33"/>
    <mergeCell ref="B11:E11"/>
    <mergeCell ref="A8:E8"/>
    <mergeCell ref="C34:E34"/>
    <mergeCell ref="A35:B35"/>
    <mergeCell ref="A4:B4"/>
    <mergeCell ref="B17:E17"/>
    <mergeCell ref="B24:C24"/>
    <mergeCell ref="A20:E20"/>
    <mergeCell ref="A28:E28"/>
    <mergeCell ref="B19:E19"/>
    <mergeCell ref="B26:C26"/>
    <mergeCell ref="B10:E10"/>
    <mergeCell ref="A34:B34"/>
  </mergeCells>
  <conditionalFormatting sqref="D35">
    <cfRule type="notContainsBlanks" priority="1" dxfId="0">
      <formula>LEN(TRIM(D35))&gt;0</formula>
    </cfRule>
  </conditionalFormatting>
  <dataValidations count="9">
    <dataValidation sqref="B10" showDropDown="0" showInputMessage="0" showErrorMessage="1" allowBlank="1" type="list">
      <formula1>NiveisMPS</formula1>
    </dataValidation>
    <dataValidation sqref="B11" showDropDown="0" showInputMessage="0" showErrorMessage="1" allowBlank="1" type="list">
      <formula1>VersoesGuiaAvaliacao</formula1>
    </dataValidation>
    <dataValidation sqref="B9" showDropDown="0" showInputMessage="0" showErrorMessage="0" allowBlank="1" type="list">
      <formula1>VersoesModelosMPS</formula1>
    </dataValidation>
    <dataValidation sqref="B14 E14" showDropDown="0" showInputMessage="0" showErrorMessage="1" allowBlank="1" type="list">
      <formula1>FormatoAvaliacao</formula1>
    </dataValidation>
    <dataValidation sqref="C36" showDropDown="0" showInputMessage="0" showErrorMessage="1" allowBlank="1" type="list">
      <formula1>AssociacaoAgenteSOFTEX</formula1>
    </dataValidation>
    <dataValidation sqref="C4:C7" showDropDown="0" showInputMessage="0" showErrorMessage="0" allowBlank="1" type="list">
      <formula1>"Sim,Não se aplica"</formula1>
    </dataValidation>
    <dataValidation sqref="B12:B13 E12:E13 E30:E32" showDropDown="1" showInputMessage="1" showErrorMessage="1" allowBlank="1" prompt="Entre uma data no formato DD/MM/AAAA ou clique duplo para escolher uma data no calendário apresentado." type="custom">
      <formula1>OR(NOT(ISERROR(DATEVALUE(B12))), AND(ISNUMBER(B12), LEFT(CELL("format", B12))="D"))</formula1>
    </dataValidation>
    <dataValidation sqref="C35" showDropDown="0" showInputMessage="0" showErrorMessage="0" allowBlank="1" type="list">
      <formula1>ParticipacaoProjetoSOFTEX</formula1>
    </dataValidation>
    <dataValidation sqref="C30:C32" showDropDown="0" showInputMessage="0" showErrorMessage="0" allowBlank="1" type="list">
      <formula1>TipoCursoIntroducao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00FF00"/>
    <outlinePr summaryBelow="0" summaryRight="0"/>
    <pageSetUpPr/>
  </sheetPr>
  <dimension ref="A1:N35"/>
  <sheetViews>
    <sheetView showGridLines="0" workbookViewId="0">
      <pane ySplit="4" topLeftCell="A5" activePane="bottomLeft" state="frozen"/>
      <selection pane="bottomLeft" activeCell="B6" sqref="B6"/>
    </sheetView>
  </sheetViews>
  <sheetFormatPr baseColWidth="8" defaultColWidth="12.63" defaultRowHeight="15.75" customHeight="1"/>
  <cols>
    <col width="17.38" customWidth="1" style="384" min="1" max="1"/>
    <col width="27.88" customWidth="1" style="384" min="2" max="2"/>
    <col width="18.5" customWidth="1" style="384" min="3" max="3"/>
    <col width="10.63" customWidth="1" style="384" min="4" max="4"/>
    <col width="13.75" customWidth="1" style="384" min="11" max="12"/>
    <col width="27.63" customWidth="1" style="384" min="14" max="14"/>
  </cols>
  <sheetData>
    <row r="1">
      <c r="A1" s="62" t="inlineStr">
        <is>
          <t>Seleção de Projetos</t>
        </is>
      </c>
      <c r="C1" s="63" t="inlineStr">
        <is>
          <t>Obs.: Caso a avaliação seja do MPS-SW, deixar visível esta aba (Projetos) e ocultar (mas não apagar) as abas Serviços e Áreas.</t>
        </is>
      </c>
      <c r="D1" s="62" t="n"/>
      <c r="E1" s="62" t="n"/>
      <c r="F1" s="62" t="n"/>
      <c r="G1" s="62" t="n"/>
      <c r="H1" s="62" t="n"/>
      <c r="I1" s="62" t="n"/>
      <c r="J1" s="62" t="n"/>
      <c r="K1" s="62" t="n"/>
      <c r="L1" s="62" t="n"/>
      <c r="M1" s="62" t="n"/>
      <c r="N1" s="62" t="n"/>
    </row>
    <row r="2">
      <c r="A2" s="393" t="inlineStr">
        <is>
          <t>Quantidade de projetos total executados na UO :</t>
        </is>
      </c>
      <c r="B2" s="386" t="n"/>
      <c r="C2" s="65" t="n">
        <v>8</v>
      </c>
      <c r="D2" s="66" t="n"/>
      <c r="E2" s="66" t="n"/>
      <c r="F2" s="66" t="n"/>
      <c r="G2" s="66" t="n"/>
      <c r="H2" s="66" t="n"/>
      <c r="I2" s="66" t="n"/>
      <c r="J2" s="66" t="n"/>
      <c r="K2" s="66" t="n"/>
      <c r="L2" s="66" t="n"/>
      <c r="M2" s="66" t="n"/>
      <c r="N2" s="67" t="n"/>
    </row>
    <row r="3">
      <c r="A3" s="393" t="inlineStr">
        <is>
          <t>Número de Gerêntes de Projetos na UO:</t>
        </is>
      </c>
      <c r="B3" s="386" t="n"/>
      <c r="C3" s="65" t="n">
        <v>1</v>
      </c>
      <c r="D3" s="66" t="n"/>
      <c r="E3" s="66" t="n"/>
      <c r="F3" s="66" t="n"/>
      <c r="G3" s="66" t="n"/>
      <c r="H3" s="66" t="n"/>
      <c r="I3" s="66" t="n"/>
      <c r="J3" s="66" t="n"/>
      <c r="K3" s="66" t="n"/>
      <c r="L3" s="66" t="n"/>
      <c r="M3" s="66" t="n"/>
      <c r="N3" s="67" t="n"/>
    </row>
    <row r="4">
      <c r="A4" s="76" t="inlineStr">
        <is>
          <t>Nome do projeto</t>
        </is>
      </c>
      <c r="B4" s="76" t="inlineStr">
        <is>
          <t>Descrição</t>
        </is>
      </c>
      <c r="C4" s="76" t="inlineStr">
        <is>
          <t>Tipo de projeto</t>
        </is>
      </c>
      <c r="D4" s="76" t="inlineStr">
        <is>
          <t>Cliente</t>
        </is>
      </c>
      <c r="E4" s="76" t="inlineStr">
        <is>
          <t>Ciclo de vida utilizado</t>
        </is>
      </c>
      <c r="F4" s="76" t="inlineStr">
        <is>
          <t>Esforço horas</t>
        </is>
      </c>
      <c r="G4" s="76" t="inlineStr">
        <is>
          <t>Total de envolvidos no projeto</t>
        </is>
      </c>
      <c r="H4" s="76" t="inlineStr">
        <is>
          <t>Gerente do Projeto</t>
        </is>
      </c>
      <c r="I4" s="76" t="inlineStr">
        <is>
          <t>Data início</t>
        </is>
      </c>
      <c r="J4" s="76" t="inlineStr">
        <is>
          <t>Data término</t>
        </is>
      </c>
      <c r="K4" s="69" t="inlineStr">
        <is>
          <t>Fase em que se encontra</t>
        </is>
      </c>
      <c r="L4" s="76" t="inlineStr">
        <is>
          <t>Importância para a organização</t>
        </is>
      </c>
      <c r="M4" s="69" t="inlineStr">
        <is>
          <t>Seleção para avaliação</t>
        </is>
      </c>
      <c r="N4" s="69" t="inlineStr">
        <is>
          <t>Justificativa para seleção do projeto</t>
        </is>
      </c>
    </row>
    <row r="5">
      <c r="A5" s="133" t="inlineStr">
        <is>
          <t>FTFRUKI — Super App Força de Vendas</t>
        </is>
      </c>
      <c r="B5" s="133" t="inlineStr">
        <is>
          <t>Desenvolvimento de módulos do SuperApp Fruki (aplicativo mobile de força de vendas em React Native): Pacote 1 — módulo de Metas e Remuneração Variável; Pacote Final 24 — módulos de Pedidos Não Alocados, Regra de Ouro e PDV.</t>
        </is>
      </c>
      <c r="C5" s="71" t="inlineStr">
        <is>
          <t>Evolução Produto</t>
        </is>
      </c>
      <c r="D5" s="71" t="inlineStr">
        <is>
          <t>Fruki Bebidas S.A.</t>
        </is>
      </c>
      <c r="E5" s="71" t="inlineStr">
        <is>
          <t>Concluído</t>
        </is>
      </c>
      <c r="F5" s="71" t="n">
        <v>2058</v>
      </c>
      <c r="G5" s="71" t="n">
        <v>5</v>
      </c>
      <c r="H5" s="71" t="inlineStr">
        <is>
          <t>Abraão Oliveira</t>
        </is>
      </c>
      <c r="I5" s="72" t="n">
        <v>45813</v>
      </c>
      <c r="J5" s="72" t="n">
        <v>46037</v>
      </c>
      <c r="K5" s="71" t="inlineStr">
        <is>
          <t>Concluído</t>
        </is>
      </c>
      <c r="L5" s="71" t="inlineStr">
        <is>
          <t>Alta</t>
        </is>
      </c>
      <c r="M5" s="71" t="inlineStr">
        <is>
          <t>Sim</t>
        </is>
      </c>
      <c r="N5" s="71" t="inlineStr">
        <is>
          <t>Projeto com conjunto completo de evidências MPS; duas fases documentadas com TAPs, planos, atas de acompanhamento, relatórios de V&amp;V e lições aprendidas.</t>
        </is>
      </c>
    </row>
    <row r="6">
      <c r="A6" s="133" t="inlineStr">
        <is>
          <t>AASP — Andamento Processuais</t>
        </is>
      </c>
      <c r="B6" s="133" t="inlineStr">
        <is>
          <t>Refatoração da solução legada de captura de andamentos processuais para arquitetura DataJud/CNJ + WorkerAndamentos, com integração EPROC/ESAJ, RabbitMQ e Elasticsearch.</t>
        </is>
      </c>
      <c r="C6" s="71" t="inlineStr">
        <is>
          <t>Evolução Produto</t>
        </is>
      </c>
      <c r="D6" s="71" t="inlineStr">
        <is>
          <t>AASP — Associação dos Advogados de São Paulo</t>
        </is>
      </c>
      <c r="E6" s="71" t="inlineStr">
        <is>
          <t>Construção</t>
        </is>
      </c>
      <c r="F6" s="71" t="n">
        <v>362</v>
      </c>
      <c r="G6" s="71" t="n">
        <v>5</v>
      </c>
      <c r="H6" s="71" t="inlineStr">
        <is>
          <t>Abraão Oliveira</t>
        </is>
      </c>
      <c r="I6" s="72" t="n">
        <v>46006</v>
      </c>
      <c r="J6" s="72" t="n"/>
      <c r="K6" s="71" t="inlineStr">
        <is>
          <t>Construção</t>
        </is>
      </c>
      <c r="L6" s="71" t="inlineStr">
        <is>
          <t>Alta</t>
        </is>
      </c>
      <c r="M6" s="71" t="inlineStr">
        <is>
          <t>Sim</t>
        </is>
      </c>
      <c r="N6" s="71" t="inlineStr">
        <is>
          <t>Projeto com evidências de todas as fases do processo-padrão; refatoração arquitetural documentada em quatro fases com atas de acompanhamento.</t>
        </is>
      </c>
    </row>
    <row r="7">
      <c r="A7" s="133" t="inlineStr">
        <is>
          <t>PROFARMA / D1000 — Cadastro de Clientes</t>
        </is>
      </c>
      <c r="B7" s="133" t="inlineStr">
        <is>
          <t>Desenvolvimento do novo sistema de Cadastro de Clientes da Rede D1000 em .NET/Azure (Clean Architecture + PostgreSQL), substituindo base legada ITEC. Integração com VTEX, BlueSoft, Propz CRM e PBM; piloto na loja 9.</t>
        </is>
      </c>
      <c r="C7" s="71" t="inlineStr">
        <is>
          <t>Desenvolvimento</t>
        </is>
      </c>
      <c r="D7" s="71" t="inlineStr">
        <is>
          <t>Profarma S.A. / Rede D1000</t>
        </is>
      </c>
      <c r="E7" s="71" t="inlineStr">
        <is>
          <t>Concluído</t>
        </is>
      </c>
      <c r="F7" s="71" t="n">
        <v>5789</v>
      </c>
      <c r="G7" s="71" t="n">
        <v>9</v>
      </c>
      <c r="H7" s="71" t="inlineStr">
        <is>
          <t>Abraão Oliveira</t>
        </is>
      </c>
      <c r="I7" s="72" t="n">
        <v>45733</v>
      </c>
      <c r="J7" s="72" t="n">
        <v>46051</v>
      </c>
      <c r="K7" s="71" t="inlineStr">
        <is>
          <t>Concluído</t>
        </is>
      </c>
      <c r="L7" s="71" t="inlineStr">
        <is>
          <t>Alta</t>
        </is>
      </c>
      <c r="M7" s="71" t="inlineStr">
        <is>
          <t>Sim</t>
        </is>
      </c>
      <c r="N7" s="71" t="inlineStr">
        <is>
          <t>Maior projeto em complexidade técnica e tamanho de equipe; ciclo de vida completo com evidências abrangentes de todos os processos MPS-SW Nível C.</t>
        </is>
      </c>
    </row>
    <row r="8">
      <c r="A8" s="133" t="inlineStr">
        <is>
          <t>AASP — CNJ Integração</t>
        </is>
      </c>
      <c r="B8" s="133" t="inlineStr">
        <is>
          <t>Desenvolvimento de agente de captura de andamentos processuais via API DataJud/CNJ (WorkerAndamentos), consumindo RabbitMQ e consolidando histórico no Elasticsearch; integração com EPROC/ESAJ.</t>
        </is>
      </c>
      <c r="C8" s="71" t="inlineStr">
        <is>
          <t>Desenvolvimento</t>
        </is>
      </c>
      <c r="D8" s="71" t="inlineStr">
        <is>
          <t>AASP — Associação dos Advogados de São Paulo</t>
        </is>
      </c>
      <c r="E8" s="71" t="inlineStr">
        <is>
          <t>Construção</t>
        </is>
      </c>
      <c r="F8" s="71" t="n">
        <v>624</v>
      </c>
      <c r="G8" s="71" t="n">
        <v>7</v>
      </c>
      <c r="H8" s="71" t="inlineStr">
        <is>
          <t>Abraão Oliveira</t>
        </is>
      </c>
      <c r="I8" s="72" t="n">
        <v>45931</v>
      </c>
      <c r="J8" s="72" t="n">
        <v>46203</v>
      </c>
      <c r="K8" s="71" t="inlineStr">
        <is>
          <t>Construção</t>
        </is>
      </c>
      <c r="L8" s="71" t="inlineStr">
        <is>
          <t>Alta</t>
        </is>
      </c>
      <c r="M8" s="71" t="inlineStr">
        <is>
          <t>Sim</t>
        </is>
      </c>
      <c r="N8" s="71" t="inlineStr">
        <is>
          <t>Projeto com evidências de todos os processos MPS; contexto de implantação em produção documenta o ciclo completo de desenvolvimento até entrega.</t>
        </is>
      </c>
    </row>
    <row r="9">
      <c r="A9" s="133" t="n"/>
      <c r="B9" s="133" t="n"/>
      <c r="C9" s="71" t="n"/>
      <c r="D9" s="71" t="n"/>
      <c r="E9" s="71" t="n"/>
      <c r="F9" s="71" t="n"/>
      <c r="G9" s="71" t="n"/>
      <c r="H9" s="71" t="n"/>
      <c r="I9" s="72" t="n"/>
      <c r="J9" s="72" t="n"/>
      <c r="K9" s="71" t="n"/>
      <c r="L9" s="71" t="n"/>
      <c r="M9" s="71" t="n"/>
      <c r="N9" s="71" t="n"/>
    </row>
    <row r="10">
      <c r="A10" s="133" t="n"/>
      <c r="B10" s="133" t="n"/>
      <c r="C10" s="71" t="n"/>
      <c r="D10" s="71" t="n"/>
      <c r="E10" s="71" t="n"/>
      <c r="F10" s="71" t="n"/>
      <c r="G10" s="71" t="n"/>
      <c r="H10" s="71" t="n"/>
      <c r="I10" s="72" t="n"/>
      <c r="J10" s="72" t="n"/>
      <c r="K10" s="71" t="n"/>
      <c r="L10" s="71" t="n"/>
      <c r="M10" s="71" t="n"/>
      <c r="N10" s="71" t="n"/>
    </row>
    <row r="11">
      <c r="A11" s="133" t="n"/>
      <c r="B11" s="133" t="n"/>
      <c r="C11" s="71" t="n"/>
      <c r="D11" s="71" t="n"/>
      <c r="E11" s="71" t="n"/>
      <c r="F11" s="71" t="n"/>
      <c r="G11" s="71" t="n"/>
      <c r="H11" s="71" t="n"/>
      <c r="I11" s="72" t="n"/>
      <c r="J11" s="72" t="n"/>
      <c r="K11" s="71" t="n"/>
      <c r="L11" s="71" t="n"/>
      <c r="M11" s="71" t="n"/>
      <c r="N11" s="71" t="n"/>
    </row>
    <row r="12">
      <c r="A12" s="133" t="n"/>
      <c r="B12" s="133" t="n"/>
      <c r="C12" s="71" t="n"/>
      <c r="D12" s="71" t="n"/>
      <c r="E12" s="71" t="n"/>
      <c r="F12" s="71" t="n"/>
      <c r="G12" s="71" t="n"/>
      <c r="H12" s="71" t="n"/>
      <c r="I12" s="72" t="n"/>
      <c r="J12" s="72" t="n"/>
      <c r="K12" s="71" t="n"/>
      <c r="L12" s="71" t="n"/>
      <c r="M12" s="71" t="n"/>
      <c r="N12" s="71" t="n"/>
    </row>
    <row r="13">
      <c r="A13" s="133" t="n"/>
      <c r="B13" s="133" t="n"/>
      <c r="C13" s="71" t="n"/>
      <c r="D13" s="71" t="n"/>
      <c r="E13" s="71" t="n"/>
      <c r="F13" s="71" t="n"/>
      <c r="G13" s="71" t="n"/>
      <c r="H13" s="71" t="n"/>
      <c r="I13" s="72" t="n"/>
      <c r="J13" s="72" t="n"/>
      <c r="K13" s="71" t="n"/>
      <c r="L13" s="71" t="n"/>
      <c r="M13" s="71" t="n"/>
      <c r="N13" s="71" t="n"/>
    </row>
    <row r="14">
      <c r="A14" s="133" t="n"/>
      <c r="B14" s="133" t="n"/>
      <c r="C14" s="71" t="n"/>
      <c r="D14" s="71" t="n"/>
      <c r="E14" s="71" t="n"/>
      <c r="F14" s="71" t="n"/>
      <c r="G14" s="71" t="n"/>
      <c r="H14" s="71" t="n"/>
      <c r="I14" s="72" t="n"/>
      <c r="J14" s="72" t="n"/>
      <c r="K14" s="71" t="n"/>
      <c r="L14" s="71" t="n"/>
      <c r="M14" s="71" t="n"/>
      <c r="N14" s="71" t="n"/>
    </row>
    <row r="15">
      <c r="A15" s="133" t="n"/>
      <c r="B15" s="133" t="n"/>
      <c r="C15" s="71" t="n"/>
      <c r="D15" s="71" t="n"/>
      <c r="E15" s="71" t="n"/>
      <c r="F15" s="71" t="n"/>
      <c r="G15" s="71" t="n"/>
      <c r="H15" s="71" t="n"/>
      <c r="I15" s="72" t="n"/>
      <c r="J15" s="72" t="n"/>
      <c r="K15" s="71" t="n"/>
      <c r="L15" s="71" t="n"/>
      <c r="M15" s="71" t="n"/>
      <c r="N15" s="71" t="n"/>
    </row>
    <row r="16">
      <c r="A16" s="133" t="n"/>
      <c r="B16" s="133" t="n"/>
      <c r="C16" s="71" t="n"/>
      <c r="D16" s="71" t="n"/>
      <c r="E16" s="71" t="n"/>
      <c r="F16" s="71" t="n"/>
      <c r="G16" s="71" t="n"/>
      <c r="H16" s="71" t="n"/>
      <c r="I16" s="72" t="n"/>
      <c r="J16" s="72" t="n"/>
      <c r="K16" s="71" t="n"/>
      <c r="L16" s="71" t="n"/>
      <c r="M16" s="71" t="n"/>
      <c r="N16" s="71" t="n"/>
    </row>
    <row r="17">
      <c r="A17" s="133" t="n"/>
      <c r="B17" s="133" t="n"/>
      <c r="C17" s="71" t="n"/>
      <c r="D17" s="71" t="n"/>
      <c r="E17" s="71" t="n"/>
      <c r="F17" s="71" t="n"/>
      <c r="G17" s="71" t="n"/>
      <c r="H17" s="71" t="n"/>
      <c r="I17" s="72" t="n"/>
      <c r="J17" s="72" t="n"/>
      <c r="K17" s="71" t="n"/>
      <c r="L17" s="71" t="n"/>
      <c r="M17" s="71" t="n"/>
      <c r="N17" s="71" t="n"/>
    </row>
    <row r="18">
      <c r="A18" s="133" t="n"/>
      <c r="B18" s="133" t="n"/>
      <c r="C18" s="71" t="n"/>
      <c r="D18" s="71" t="n"/>
      <c r="E18" s="71" t="n"/>
      <c r="F18" s="71" t="n"/>
      <c r="G18" s="71" t="n"/>
      <c r="H18" s="71" t="n"/>
      <c r="I18" s="72" t="n"/>
      <c r="J18" s="72" t="n"/>
      <c r="K18" s="71" t="n"/>
      <c r="L18" s="71" t="n"/>
      <c r="M18" s="71" t="n"/>
      <c r="N18" s="71" t="n"/>
    </row>
    <row r="19">
      <c r="A19" s="133" t="n"/>
      <c r="B19" s="133" t="n"/>
      <c r="C19" s="71" t="n"/>
      <c r="D19" s="71" t="n"/>
      <c r="E19" s="71" t="n"/>
      <c r="F19" s="71" t="n"/>
      <c r="G19" s="71" t="n"/>
      <c r="H19" s="71" t="n"/>
      <c r="I19" s="72" t="n"/>
      <c r="J19" s="72" t="n"/>
      <c r="K19" s="71" t="n"/>
      <c r="L19" s="71" t="n"/>
      <c r="M19" s="71" t="n"/>
      <c r="N19" s="71" t="n"/>
    </row>
    <row r="20">
      <c r="A20" s="133" t="n"/>
      <c r="B20" s="133" t="n"/>
      <c r="C20" s="71" t="n"/>
      <c r="D20" s="71" t="n"/>
      <c r="E20" s="71" t="n"/>
      <c r="F20" s="71" t="n"/>
      <c r="G20" s="71" t="n"/>
      <c r="H20" s="71" t="n"/>
      <c r="I20" s="72" t="n"/>
      <c r="J20" s="72" t="n"/>
      <c r="K20" s="71" t="n"/>
      <c r="L20" s="71" t="n"/>
      <c r="M20" s="71" t="n"/>
      <c r="N20" s="71" t="n"/>
    </row>
    <row r="21">
      <c r="A21" s="133" t="n"/>
      <c r="B21" s="133" t="n"/>
      <c r="C21" s="71" t="n"/>
      <c r="D21" s="71" t="n"/>
      <c r="E21" s="71" t="n"/>
      <c r="F21" s="71" t="n"/>
      <c r="G21" s="71" t="n"/>
      <c r="H21" s="71" t="n"/>
      <c r="I21" s="72" t="n"/>
      <c r="J21" s="72" t="n"/>
      <c r="K21" s="71" t="n"/>
      <c r="L21" s="71" t="n"/>
      <c r="M21" s="71" t="n"/>
      <c r="N21" s="71" t="n"/>
    </row>
    <row r="22">
      <c r="A22" s="133" t="n"/>
      <c r="B22" s="133" t="n"/>
      <c r="C22" s="71" t="n"/>
      <c r="D22" s="71" t="n"/>
      <c r="E22" s="71" t="n"/>
      <c r="F22" s="71" t="n"/>
      <c r="G22" s="71" t="n"/>
      <c r="H22" s="71" t="n"/>
      <c r="I22" s="72" t="n"/>
      <c r="J22" s="72" t="n"/>
      <c r="K22" s="71" t="n"/>
      <c r="L22" s="71" t="n"/>
      <c r="M22" s="71" t="n"/>
      <c r="N22" s="71" t="n"/>
    </row>
    <row r="23">
      <c r="A23" s="133" t="n"/>
      <c r="B23" s="133" t="n"/>
      <c r="C23" s="71" t="n"/>
      <c r="D23" s="71" t="n"/>
      <c r="E23" s="71" t="n"/>
      <c r="F23" s="71" t="n"/>
      <c r="G23" s="71" t="n"/>
      <c r="H23" s="71" t="n"/>
      <c r="I23" s="72" t="n"/>
      <c r="J23" s="72" t="n"/>
      <c r="K23" s="71" t="n"/>
      <c r="L23" s="71" t="n"/>
      <c r="M23" s="71" t="n"/>
      <c r="N23" s="71" t="n"/>
    </row>
    <row r="24">
      <c r="A24" s="133" t="n"/>
      <c r="B24" s="133" t="n"/>
      <c r="C24" s="71" t="n"/>
      <c r="D24" s="71" t="n"/>
      <c r="E24" s="71" t="n"/>
      <c r="F24" s="71" t="n"/>
      <c r="G24" s="71" t="n"/>
      <c r="H24" s="71" t="n"/>
      <c r="I24" s="72" t="n"/>
      <c r="J24" s="72" t="n"/>
      <c r="K24" s="71" t="n"/>
      <c r="L24" s="71" t="n"/>
      <c r="M24" s="71" t="n"/>
      <c r="N24" s="71" t="n"/>
    </row>
    <row r="25">
      <c r="A25" s="133" t="n"/>
      <c r="B25" s="133" t="n"/>
      <c r="C25" s="71" t="n"/>
      <c r="D25" s="71" t="n"/>
      <c r="E25" s="71" t="n"/>
      <c r="F25" s="71" t="n"/>
      <c r="G25" s="71" t="n"/>
      <c r="H25" s="71" t="n"/>
      <c r="I25" s="72" t="n"/>
      <c r="J25" s="72" t="n"/>
      <c r="K25" s="71" t="n"/>
      <c r="L25" s="71" t="n"/>
      <c r="M25" s="71" t="n"/>
      <c r="N25" s="71" t="n"/>
    </row>
    <row r="26">
      <c r="A26" s="133" t="n"/>
      <c r="B26" s="133" t="n"/>
      <c r="C26" s="71" t="n"/>
      <c r="D26" s="71" t="n"/>
      <c r="E26" s="71" t="n"/>
      <c r="F26" s="71" t="n"/>
      <c r="G26" s="71" t="n"/>
      <c r="H26" s="71" t="n"/>
      <c r="I26" s="72" t="n"/>
      <c r="J26" s="72" t="n"/>
      <c r="K26" s="71" t="n"/>
      <c r="L26" s="71" t="n"/>
      <c r="M26" s="71" t="n"/>
      <c r="N26" s="71" t="n"/>
    </row>
    <row r="27">
      <c r="A27" s="133" t="n"/>
      <c r="B27" s="133" t="n"/>
      <c r="C27" s="71" t="n"/>
      <c r="D27" s="71" t="n"/>
      <c r="E27" s="71" t="n"/>
      <c r="F27" s="71" t="n"/>
      <c r="G27" s="71" t="n"/>
      <c r="H27" s="71" t="n"/>
      <c r="I27" s="72" t="n"/>
      <c r="J27" s="72" t="n"/>
      <c r="K27" s="71" t="n"/>
      <c r="L27" s="71" t="n"/>
      <c r="M27" s="71" t="n"/>
      <c r="N27" s="71" t="n"/>
    </row>
    <row r="28">
      <c r="A28" s="133" t="n"/>
      <c r="B28" s="133" t="n"/>
      <c r="C28" s="71" t="n"/>
      <c r="D28" s="71" t="n"/>
      <c r="E28" s="71" t="n"/>
      <c r="F28" s="71" t="n"/>
      <c r="G28" s="71" t="n"/>
      <c r="H28" s="71" t="n"/>
      <c r="I28" s="72" t="n"/>
      <c r="J28" s="72" t="n"/>
      <c r="K28" s="71" t="n"/>
      <c r="L28" s="71" t="n"/>
      <c r="M28" s="71" t="n"/>
      <c r="N28" s="71" t="n"/>
    </row>
    <row r="29">
      <c r="A29" s="133" t="n"/>
      <c r="B29" s="133" t="n"/>
      <c r="C29" s="71" t="n"/>
      <c r="D29" s="71" t="n"/>
      <c r="E29" s="71" t="n"/>
      <c r="F29" s="71" t="n"/>
      <c r="G29" s="71" t="n"/>
      <c r="H29" s="71" t="n"/>
      <c r="I29" s="72" t="n"/>
      <c r="J29" s="72" t="n"/>
      <c r="K29" s="71" t="n"/>
      <c r="L29" s="71" t="n"/>
      <c r="M29" s="71" t="n"/>
      <c r="N29" s="71" t="n"/>
    </row>
    <row r="30">
      <c r="A30" s="133" t="n"/>
      <c r="B30" s="133" t="n"/>
      <c r="C30" s="71" t="n"/>
      <c r="D30" s="71" t="n"/>
      <c r="E30" s="71" t="n"/>
      <c r="F30" s="71" t="n"/>
      <c r="G30" s="71" t="n"/>
      <c r="H30" s="71" t="n"/>
      <c r="I30" s="72" t="n"/>
      <c r="J30" s="72" t="n"/>
      <c r="K30" s="71" t="n"/>
      <c r="L30" s="71" t="n"/>
      <c r="M30" s="71" t="n"/>
      <c r="N30" s="71" t="n"/>
    </row>
    <row r="31">
      <c r="A31" s="133" t="n"/>
      <c r="B31" s="133" t="n"/>
      <c r="C31" s="71" t="n"/>
      <c r="D31" s="71" t="n"/>
      <c r="E31" s="71" t="n"/>
      <c r="F31" s="71" t="n"/>
      <c r="G31" s="71" t="n"/>
      <c r="H31" s="71" t="n"/>
      <c r="I31" s="72" t="n"/>
      <c r="J31" s="72" t="n"/>
      <c r="K31" s="71" t="n"/>
      <c r="L31" s="71" t="n"/>
      <c r="M31" s="71" t="n"/>
      <c r="N31" s="71" t="n"/>
    </row>
    <row r="32">
      <c r="A32" s="133" t="n"/>
      <c r="B32" s="133" t="n"/>
      <c r="C32" s="71" t="n"/>
      <c r="D32" s="71" t="n"/>
      <c r="E32" s="71" t="n"/>
      <c r="F32" s="71" t="n"/>
      <c r="G32" s="71" t="n"/>
      <c r="H32" s="71" t="n"/>
      <c r="I32" s="72" t="n"/>
      <c r="J32" s="72" t="n"/>
      <c r="K32" s="71" t="n"/>
      <c r="L32" s="71" t="n"/>
      <c r="M32" s="71" t="n"/>
      <c r="N32" s="71" t="n"/>
    </row>
    <row r="33">
      <c r="A33" s="133" t="n"/>
      <c r="B33" s="133" t="n"/>
      <c r="C33" s="71" t="n"/>
      <c r="D33" s="71" t="n"/>
      <c r="E33" s="71" t="n"/>
      <c r="F33" s="71" t="n"/>
      <c r="G33" s="71" t="n"/>
      <c r="H33" s="71" t="n"/>
      <c r="I33" s="72" t="n"/>
      <c r="J33" s="72" t="n"/>
      <c r="K33" s="71" t="n"/>
      <c r="L33" s="71" t="n"/>
      <c r="M33" s="71" t="n"/>
      <c r="N33" s="71" t="n"/>
    </row>
    <row r="34">
      <c r="A34" s="133" t="n"/>
      <c r="B34" s="133" t="n"/>
      <c r="C34" s="71" t="n"/>
      <c r="D34" s="71" t="n"/>
      <c r="E34" s="71" t="n"/>
      <c r="F34" s="71" t="n"/>
      <c r="G34" s="71" t="n"/>
      <c r="H34" s="71" t="n"/>
      <c r="I34" s="72" t="n"/>
      <c r="J34" s="72" t="n"/>
      <c r="K34" s="71" t="n"/>
      <c r="L34" s="71" t="n"/>
      <c r="M34" s="71" t="n"/>
      <c r="N34" s="71" t="n"/>
    </row>
    <row r="35">
      <c r="A35" s="133" t="n"/>
      <c r="B35" s="133" t="n"/>
      <c r="C35" s="71" t="n"/>
      <c r="D35" s="71" t="n"/>
      <c r="E35" s="71" t="n"/>
      <c r="F35" s="71" t="n"/>
      <c r="G35" s="71" t="n"/>
      <c r="H35" s="71" t="n"/>
      <c r="I35" s="72" t="n"/>
      <c r="J35" s="72" t="n"/>
      <c r="K35" s="71" t="n"/>
      <c r="L35" s="71" t="n"/>
      <c r="M35" s="71" t="n"/>
      <c r="N35" s="71" t="n"/>
    </row>
  </sheetData>
  <autoFilter ref="$A$4:$L$35"/>
  <mergeCells count="3">
    <mergeCell ref="A3:B3"/>
    <mergeCell ref="A2:B2"/>
    <mergeCell ref="A1:B1"/>
  </mergeCells>
  <dataValidations count="6">
    <dataValidation sqref="M5:M35" showDropDown="0" showInputMessage="0" showErrorMessage="1" allowBlank="1" type="list">
      <formula1>SelecaoAvaliacao</formula1>
    </dataValidation>
    <dataValidation sqref="L5:L35" showDropDown="0" showInputMessage="0" showErrorMessage="1" allowBlank="1" type="list">
      <formula1>ImportanciaOrganizacao</formula1>
    </dataValidation>
    <dataValidation sqref="C5:C35" showDropDown="0" showInputMessage="0" showErrorMessage="1" allowBlank="1" type="list">
      <formula1>TipoProjeto</formula1>
    </dataValidation>
    <dataValidation sqref="I5:J35" showDropDown="1" showInputMessage="0" showErrorMessage="0" allowBlank="1" type="custom">
      <formula1>OR(NOT(ISERROR(DATEVALUE(I5))), AND(ISNUMBER(I5), LEFT(CELL("format", I5))="D"))</formula1>
    </dataValidation>
    <dataValidation sqref="K5:K35" showDropDown="0" showInputMessage="0" showErrorMessage="1" allowBlank="1" type="list">
      <formula1>FasesProjetos</formula1>
    </dataValidation>
    <dataValidation sqref="D5:D35" showDropDown="0" showInputMessage="0" showErrorMessage="1" allowBlank="1" type="list">
      <formula1>TipoCliente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00FF00"/>
    <outlinePr summaryBelow="0" summaryRight="0"/>
    <pageSetUpPr/>
  </sheetPr>
  <dimension ref="A1:L35"/>
  <sheetViews>
    <sheetView showGridLines="0" workbookViewId="0">
      <pane ySplit="4" topLeftCell="A5" activePane="bottomLeft" state="frozen"/>
      <selection pane="bottomLeft" activeCell="B6" sqref="B6"/>
    </sheetView>
  </sheetViews>
  <sheetFormatPr baseColWidth="8" defaultColWidth="12.63" defaultRowHeight="15.75" customHeight="1"/>
  <cols>
    <col width="17.38" customWidth="1" style="384" min="1" max="1"/>
    <col width="29.88" customWidth="1" style="384" min="2" max="2"/>
    <col width="18.5" customWidth="1" style="384" min="3" max="3"/>
    <col width="14.25" customWidth="1" style="384" min="4" max="4"/>
    <col width="15.63" customWidth="1" style="384" min="6" max="6"/>
    <col width="13.75" customWidth="1" style="384" min="9" max="10"/>
    <col width="27.63" customWidth="1" style="384" min="12" max="12"/>
  </cols>
  <sheetData>
    <row r="1">
      <c r="A1" s="62" t="inlineStr">
        <is>
          <t>Seleção de Operações/Instâncias</t>
        </is>
      </c>
      <c r="C1" s="63" t="inlineStr">
        <is>
          <t>Obs.: Caso a avaliação seja do MPS-SV, deixar visível esta aba (Serviços) e ocultar (mas não apagar) as abas Projetos e Áreas.</t>
        </is>
      </c>
      <c r="D1" s="62" t="n"/>
      <c r="E1" s="62" t="n"/>
      <c r="F1" s="62" t="n"/>
      <c r="G1" s="62" t="n"/>
      <c r="H1" s="62" t="n"/>
      <c r="I1" s="62" t="n"/>
      <c r="J1" s="62" t="n"/>
      <c r="K1" s="62" t="n"/>
      <c r="L1" s="62" t="n"/>
    </row>
    <row r="2">
      <c r="A2" s="394" t="inlineStr">
        <is>
          <t>Quantidade de operações/instâncias total executados na UO:</t>
        </is>
      </c>
      <c r="B2" s="386" t="n"/>
      <c r="C2" s="65" t="n"/>
      <c r="D2" s="66" t="n"/>
      <c r="E2" s="66" t="n"/>
      <c r="F2" s="66" t="n"/>
      <c r="G2" s="66" t="n"/>
      <c r="H2" s="66" t="n"/>
      <c r="I2" s="66" t="n"/>
      <c r="J2" s="66" t="n"/>
      <c r="K2" s="74" t="n"/>
      <c r="L2" s="75" t="n"/>
    </row>
    <row r="3">
      <c r="A3" s="393" t="inlineStr">
        <is>
          <t>Número de Gestores de Serviços na UO:</t>
        </is>
      </c>
      <c r="B3" s="386" t="n"/>
      <c r="C3" s="65" t="n"/>
      <c r="D3" s="66" t="n"/>
      <c r="E3" s="66" t="n"/>
      <c r="F3" s="66" t="n"/>
      <c r="G3" s="66" t="n"/>
      <c r="H3" s="66" t="n"/>
      <c r="I3" s="66" t="n"/>
      <c r="J3" s="66" t="n"/>
      <c r="K3" s="74" t="n"/>
      <c r="L3" s="75" t="n"/>
    </row>
    <row r="4">
      <c r="A4" s="76" t="inlineStr">
        <is>
          <t>Nome das operações / instâncias</t>
        </is>
      </c>
      <c r="B4" s="76" t="inlineStr">
        <is>
          <t>Descrição</t>
        </is>
      </c>
      <c r="C4" s="76" t="inlineStr">
        <is>
          <t>Cliente</t>
        </is>
      </c>
      <c r="D4" s="76" t="inlineStr">
        <is>
          <t>Gerente da Operação / Instância</t>
        </is>
      </c>
      <c r="E4" s="76" t="inlineStr">
        <is>
          <t>Esforço horas</t>
        </is>
      </c>
      <c r="F4" s="76" t="inlineStr">
        <is>
          <t>Total de envolvidos na operação/ instância</t>
        </is>
      </c>
      <c r="G4" s="76" t="inlineStr">
        <is>
          <t>Data início</t>
        </is>
      </c>
      <c r="H4" s="76" t="inlineStr">
        <is>
          <t>Data término</t>
        </is>
      </c>
      <c r="I4" s="69" t="inlineStr">
        <is>
          <t>Fase em que se encontra</t>
        </is>
      </c>
      <c r="J4" s="76" t="inlineStr">
        <is>
          <t>Importância para a organização</t>
        </is>
      </c>
      <c r="K4" s="69" t="inlineStr">
        <is>
          <t>Seleção para avaliação</t>
        </is>
      </c>
      <c r="L4" s="69" t="inlineStr">
        <is>
          <t>Justificativa para seleção da operação</t>
        </is>
      </c>
    </row>
    <row r="5">
      <c r="A5" s="133" t="n"/>
      <c r="B5" s="133" t="n"/>
      <c r="C5" s="71" t="n"/>
      <c r="D5" s="133" t="n"/>
      <c r="E5" s="71" t="n"/>
      <c r="F5" s="71" t="n"/>
      <c r="G5" s="71" t="n"/>
      <c r="H5" s="71" t="n"/>
      <c r="I5" s="71" t="n"/>
      <c r="J5" s="71" t="n"/>
      <c r="K5" s="77" t="n"/>
      <c r="L5" s="77" t="n"/>
    </row>
    <row r="6">
      <c r="A6" s="133" t="n"/>
      <c r="B6" s="133" t="n"/>
      <c r="C6" s="71" t="n"/>
      <c r="D6" s="133" t="n"/>
      <c r="E6" s="71" t="n"/>
      <c r="F6" s="71" t="n"/>
      <c r="G6" s="71" t="n"/>
      <c r="H6" s="71" t="n"/>
      <c r="I6" s="71" t="n"/>
      <c r="J6" s="71" t="n"/>
      <c r="K6" s="77" t="n"/>
      <c r="L6" s="77" t="n"/>
    </row>
    <row r="7">
      <c r="A7" s="133" t="n"/>
      <c r="B7" s="133" t="n"/>
      <c r="C7" s="71" t="n"/>
      <c r="D7" s="133" t="n"/>
      <c r="E7" s="71" t="n"/>
      <c r="F7" s="71" t="n"/>
      <c r="G7" s="71" t="n"/>
      <c r="H7" s="71" t="n"/>
      <c r="I7" s="71" t="n"/>
      <c r="J7" s="71" t="n"/>
      <c r="K7" s="77" t="n"/>
      <c r="L7" s="77" t="n"/>
    </row>
    <row r="8">
      <c r="A8" s="133" t="n"/>
      <c r="B8" s="133" t="n"/>
      <c r="C8" s="71" t="n"/>
      <c r="D8" s="133" t="n"/>
      <c r="E8" s="71" t="n"/>
      <c r="F8" s="71" t="n"/>
      <c r="G8" s="71" t="n"/>
      <c r="H8" s="71" t="n"/>
      <c r="I8" s="71" t="n"/>
      <c r="J8" s="71" t="n"/>
      <c r="K8" s="77" t="n"/>
      <c r="L8" s="77" t="n"/>
    </row>
    <row r="9">
      <c r="A9" s="133" t="n"/>
      <c r="B9" s="133" t="n"/>
      <c r="C9" s="71" t="n"/>
      <c r="D9" s="133" t="n"/>
      <c r="E9" s="71" t="n"/>
      <c r="F9" s="71" t="n"/>
      <c r="G9" s="71" t="n"/>
      <c r="H9" s="71" t="n"/>
      <c r="I9" s="71" t="n"/>
      <c r="J9" s="71" t="n"/>
      <c r="K9" s="77" t="n"/>
      <c r="L9" s="77" t="n"/>
    </row>
    <row r="10">
      <c r="A10" s="133" t="n"/>
      <c r="B10" s="133" t="n"/>
      <c r="C10" s="71" t="n"/>
      <c r="D10" s="133" t="n"/>
      <c r="E10" s="71" t="n"/>
      <c r="F10" s="71" t="n"/>
      <c r="G10" s="71" t="n"/>
      <c r="H10" s="71" t="n"/>
      <c r="I10" s="71" t="n"/>
      <c r="J10" s="71" t="n"/>
      <c r="K10" s="77" t="n"/>
      <c r="L10" s="77" t="n"/>
    </row>
    <row r="11">
      <c r="A11" s="133" t="n"/>
      <c r="B11" s="133" t="n"/>
      <c r="C11" s="71" t="n"/>
      <c r="D11" s="133" t="n"/>
      <c r="E11" s="71" t="n"/>
      <c r="F11" s="71" t="n"/>
      <c r="G11" s="71" t="n"/>
      <c r="H11" s="71" t="n"/>
      <c r="I11" s="71" t="n"/>
      <c r="J11" s="71" t="n"/>
      <c r="K11" s="77" t="n"/>
      <c r="L11" s="77" t="n"/>
    </row>
    <row r="12">
      <c r="A12" s="133" t="n"/>
      <c r="B12" s="133" t="n"/>
      <c r="C12" s="71" t="n"/>
      <c r="D12" s="133" t="n"/>
      <c r="E12" s="71" t="n"/>
      <c r="F12" s="71" t="n"/>
      <c r="G12" s="71" t="n"/>
      <c r="H12" s="71" t="n"/>
      <c r="I12" s="71" t="n"/>
      <c r="J12" s="71" t="n"/>
      <c r="K12" s="77" t="n"/>
      <c r="L12" s="77" t="n"/>
    </row>
    <row r="13">
      <c r="A13" s="133" t="n"/>
      <c r="B13" s="133" t="n"/>
      <c r="C13" s="71" t="n"/>
      <c r="D13" s="133" t="n"/>
      <c r="E13" s="71" t="n"/>
      <c r="F13" s="71" t="n"/>
      <c r="G13" s="71" t="n"/>
      <c r="H13" s="71" t="n"/>
      <c r="I13" s="71" t="n"/>
      <c r="J13" s="71" t="n"/>
      <c r="K13" s="77" t="n"/>
      <c r="L13" s="77" t="n"/>
    </row>
    <row r="14">
      <c r="A14" s="133" t="n"/>
      <c r="B14" s="133" t="n"/>
      <c r="C14" s="71" t="n"/>
      <c r="D14" s="133" t="n"/>
      <c r="E14" s="71" t="n"/>
      <c r="F14" s="71" t="n"/>
      <c r="G14" s="71" t="n"/>
      <c r="H14" s="71" t="n"/>
      <c r="I14" s="71" t="n"/>
      <c r="J14" s="71" t="n"/>
      <c r="K14" s="77" t="n"/>
      <c r="L14" s="77" t="n"/>
    </row>
    <row r="15">
      <c r="A15" s="133" t="n"/>
      <c r="B15" s="133" t="n"/>
      <c r="C15" s="71" t="n"/>
      <c r="D15" s="133" t="n"/>
      <c r="E15" s="71" t="n"/>
      <c r="F15" s="71" t="n"/>
      <c r="G15" s="71" t="n"/>
      <c r="H15" s="71" t="n"/>
      <c r="I15" s="71" t="n"/>
      <c r="J15" s="71" t="n"/>
      <c r="K15" s="77" t="n"/>
      <c r="L15" s="77" t="n"/>
    </row>
    <row r="16">
      <c r="A16" s="133" t="n"/>
      <c r="B16" s="133" t="n"/>
      <c r="C16" s="71" t="n"/>
      <c r="D16" s="133" t="n"/>
      <c r="E16" s="71" t="n"/>
      <c r="F16" s="71" t="n"/>
      <c r="G16" s="71" t="n"/>
      <c r="H16" s="71" t="n"/>
      <c r="I16" s="71" t="n"/>
      <c r="J16" s="71" t="n"/>
      <c r="K16" s="77" t="n"/>
      <c r="L16" s="77" t="n"/>
    </row>
    <row r="17">
      <c r="A17" s="133" t="n"/>
      <c r="B17" s="133" t="n"/>
      <c r="C17" s="71" t="n"/>
      <c r="D17" s="133" t="n"/>
      <c r="E17" s="71" t="n"/>
      <c r="F17" s="71" t="n"/>
      <c r="G17" s="71" t="n"/>
      <c r="H17" s="71" t="n"/>
      <c r="I17" s="71" t="n"/>
      <c r="J17" s="71" t="n"/>
      <c r="K17" s="77" t="n"/>
      <c r="L17" s="77" t="n"/>
    </row>
    <row r="18">
      <c r="A18" s="133" t="n"/>
      <c r="B18" s="133" t="n"/>
      <c r="C18" s="71" t="n"/>
      <c r="D18" s="133" t="n"/>
      <c r="E18" s="71" t="n"/>
      <c r="F18" s="71" t="n"/>
      <c r="G18" s="71" t="n"/>
      <c r="H18" s="71" t="n"/>
      <c r="I18" s="71" t="n"/>
      <c r="J18" s="71" t="n"/>
      <c r="K18" s="77" t="n"/>
      <c r="L18" s="77" t="n"/>
    </row>
    <row r="19">
      <c r="A19" s="133" t="n"/>
      <c r="B19" s="133" t="n"/>
      <c r="C19" s="71" t="n"/>
      <c r="D19" s="133" t="n"/>
      <c r="E19" s="71" t="n"/>
      <c r="F19" s="71" t="n"/>
      <c r="G19" s="71" t="n"/>
      <c r="H19" s="71" t="n"/>
      <c r="I19" s="71" t="n"/>
      <c r="J19" s="71" t="n"/>
      <c r="K19" s="77" t="n"/>
      <c r="L19" s="77" t="n"/>
    </row>
    <row r="20">
      <c r="A20" s="133" t="n"/>
      <c r="B20" s="133" t="n"/>
      <c r="C20" s="71" t="n"/>
      <c r="D20" s="133" t="n"/>
      <c r="E20" s="71" t="n"/>
      <c r="F20" s="71" t="n"/>
      <c r="G20" s="71" t="n"/>
      <c r="H20" s="71" t="n"/>
      <c r="I20" s="71" t="n"/>
      <c r="J20" s="71" t="n"/>
      <c r="K20" s="77" t="n"/>
      <c r="L20" s="77" t="n"/>
    </row>
    <row r="21">
      <c r="A21" s="133" t="n"/>
      <c r="B21" s="133" t="n"/>
      <c r="C21" s="71" t="n"/>
      <c r="D21" s="133" t="n"/>
      <c r="E21" s="71" t="n"/>
      <c r="F21" s="71" t="n"/>
      <c r="G21" s="71" t="n"/>
      <c r="H21" s="71" t="n"/>
      <c r="I21" s="71" t="n"/>
      <c r="J21" s="71" t="n"/>
      <c r="K21" s="77" t="n"/>
      <c r="L21" s="77" t="n"/>
    </row>
    <row r="22">
      <c r="A22" s="133" t="n"/>
      <c r="B22" s="133" t="n"/>
      <c r="C22" s="71" t="n"/>
      <c r="D22" s="133" t="n"/>
      <c r="E22" s="71" t="n"/>
      <c r="F22" s="71" t="n"/>
      <c r="G22" s="71" t="n"/>
      <c r="H22" s="71" t="n"/>
      <c r="I22" s="71" t="n"/>
      <c r="J22" s="71" t="n"/>
      <c r="K22" s="77" t="n"/>
      <c r="L22" s="77" t="n"/>
    </row>
    <row r="23">
      <c r="A23" s="133" t="n"/>
      <c r="B23" s="133" t="n"/>
      <c r="C23" s="71" t="n"/>
      <c r="D23" s="133" t="n"/>
      <c r="E23" s="71" t="n"/>
      <c r="F23" s="71" t="n"/>
      <c r="G23" s="71" t="n"/>
      <c r="H23" s="71" t="n"/>
      <c r="I23" s="71" t="n"/>
      <c r="J23" s="71" t="n"/>
      <c r="K23" s="77" t="n"/>
      <c r="L23" s="77" t="n"/>
    </row>
    <row r="24">
      <c r="A24" s="133" t="n"/>
      <c r="B24" s="133" t="n"/>
      <c r="C24" s="71" t="n"/>
      <c r="D24" s="133" t="n"/>
      <c r="E24" s="71" t="n"/>
      <c r="F24" s="71" t="n"/>
      <c r="G24" s="71" t="n"/>
      <c r="H24" s="71" t="n"/>
      <c r="I24" s="71" t="n"/>
      <c r="J24" s="71" t="n"/>
      <c r="K24" s="77" t="n"/>
      <c r="L24" s="77" t="n"/>
    </row>
    <row r="25">
      <c r="A25" s="133" t="n"/>
      <c r="B25" s="133" t="n"/>
      <c r="C25" s="71" t="n"/>
      <c r="D25" s="133" t="n"/>
      <c r="E25" s="71" t="n"/>
      <c r="F25" s="71" t="n"/>
      <c r="G25" s="71" t="n"/>
      <c r="H25" s="71" t="n"/>
      <c r="I25" s="71" t="n"/>
      <c r="J25" s="71" t="n"/>
      <c r="K25" s="77" t="n"/>
      <c r="L25" s="77" t="n"/>
    </row>
    <row r="26">
      <c r="A26" s="133" t="n"/>
      <c r="B26" s="133" t="n"/>
      <c r="C26" s="71" t="n"/>
      <c r="D26" s="133" t="n"/>
      <c r="E26" s="71" t="n"/>
      <c r="F26" s="71" t="n"/>
      <c r="G26" s="71" t="n"/>
      <c r="H26" s="71" t="n"/>
      <c r="I26" s="71" t="n"/>
      <c r="J26" s="71" t="n"/>
      <c r="K26" s="77" t="n"/>
      <c r="L26" s="77" t="n"/>
    </row>
    <row r="27">
      <c r="A27" s="133" t="n"/>
      <c r="B27" s="133" t="n"/>
      <c r="C27" s="71" t="n"/>
      <c r="D27" s="133" t="n"/>
      <c r="E27" s="71" t="n"/>
      <c r="F27" s="71" t="n"/>
      <c r="G27" s="71" t="n"/>
      <c r="H27" s="71" t="n"/>
      <c r="I27" s="71" t="n"/>
      <c r="J27" s="71" t="n"/>
      <c r="K27" s="77" t="n"/>
      <c r="L27" s="77" t="n"/>
    </row>
    <row r="28">
      <c r="A28" s="133" t="n"/>
      <c r="B28" s="133" t="n"/>
      <c r="C28" s="71" t="n"/>
      <c r="D28" s="133" t="n"/>
      <c r="E28" s="71" t="n"/>
      <c r="F28" s="71" t="n"/>
      <c r="G28" s="71" t="n"/>
      <c r="H28" s="71" t="n"/>
      <c r="I28" s="71" t="n"/>
      <c r="J28" s="71" t="n"/>
      <c r="K28" s="77" t="n"/>
      <c r="L28" s="77" t="n"/>
    </row>
    <row r="29">
      <c r="A29" s="133" t="n"/>
      <c r="B29" s="133" t="n"/>
      <c r="C29" s="71" t="n"/>
      <c r="D29" s="133" t="n"/>
      <c r="E29" s="71" t="n"/>
      <c r="F29" s="71" t="n"/>
      <c r="G29" s="71" t="n"/>
      <c r="H29" s="71" t="n"/>
      <c r="I29" s="71" t="n"/>
      <c r="J29" s="71" t="n"/>
      <c r="K29" s="77" t="n"/>
      <c r="L29" s="77" t="n"/>
    </row>
    <row r="30">
      <c r="A30" s="133" t="n"/>
      <c r="B30" s="133" t="n"/>
      <c r="C30" s="71" t="n"/>
      <c r="D30" s="133" t="n"/>
      <c r="E30" s="71" t="n"/>
      <c r="F30" s="71" t="n"/>
      <c r="G30" s="71" t="n"/>
      <c r="H30" s="71" t="n"/>
      <c r="I30" s="71" t="n"/>
      <c r="J30" s="71" t="n"/>
      <c r="K30" s="77" t="n"/>
      <c r="L30" s="77" t="n"/>
    </row>
    <row r="31">
      <c r="A31" s="133" t="n"/>
      <c r="B31" s="133" t="n"/>
      <c r="C31" s="71" t="n"/>
      <c r="D31" s="133" t="n"/>
      <c r="E31" s="71" t="n"/>
      <c r="F31" s="71" t="n"/>
      <c r="G31" s="71" t="n"/>
      <c r="H31" s="71" t="n"/>
      <c r="I31" s="71" t="n"/>
      <c r="J31" s="71" t="n"/>
      <c r="K31" s="77" t="n"/>
      <c r="L31" s="77" t="n"/>
    </row>
    <row r="32">
      <c r="A32" s="133" t="n"/>
      <c r="B32" s="133" t="n"/>
      <c r="C32" s="71" t="n"/>
      <c r="D32" s="133" t="n"/>
      <c r="E32" s="71" t="n"/>
      <c r="F32" s="71" t="n"/>
      <c r="G32" s="71" t="n"/>
      <c r="H32" s="71" t="n"/>
      <c r="I32" s="71" t="n"/>
      <c r="J32" s="71" t="n"/>
      <c r="K32" s="77" t="n"/>
      <c r="L32" s="77" t="n"/>
    </row>
    <row r="33">
      <c r="A33" s="133" t="n"/>
      <c r="B33" s="133" t="n"/>
      <c r="C33" s="71" t="n"/>
      <c r="D33" s="133" t="n"/>
      <c r="E33" s="71" t="n"/>
      <c r="F33" s="71" t="n"/>
      <c r="G33" s="71" t="n"/>
      <c r="H33" s="71" t="n"/>
      <c r="I33" s="71" t="n"/>
      <c r="J33" s="71" t="n"/>
      <c r="K33" s="77" t="n"/>
      <c r="L33" s="77" t="n"/>
    </row>
    <row r="34">
      <c r="A34" s="133" t="n"/>
      <c r="B34" s="133" t="n"/>
      <c r="C34" s="71" t="n"/>
      <c r="D34" s="133" t="n"/>
      <c r="E34" s="71" t="n"/>
      <c r="F34" s="71" t="n"/>
      <c r="G34" s="71" t="n"/>
      <c r="H34" s="71" t="n"/>
      <c r="I34" s="71" t="n"/>
      <c r="J34" s="71" t="n"/>
      <c r="K34" s="77" t="n"/>
      <c r="L34" s="77" t="n"/>
    </row>
    <row r="35">
      <c r="A35" s="133" t="n"/>
      <c r="B35" s="133" t="n"/>
      <c r="C35" s="71" t="n"/>
      <c r="D35" s="133" t="n"/>
      <c r="E35" s="71" t="n"/>
      <c r="F35" s="71" t="n"/>
      <c r="G35" s="71" t="n"/>
      <c r="H35" s="71" t="n"/>
      <c r="I35" s="71" t="n"/>
      <c r="J35" s="71" t="n"/>
      <c r="K35" s="77" t="n"/>
      <c r="L35" s="77" t="n"/>
    </row>
  </sheetData>
  <autoFilter ref="$A$4:$L$35"/>
  <mergeCells count="3">
    <mergeCell ref="A3:B3"/>
    <mergeCell ref="A2:B2"/>
    <mergeCell ref="A1:B1"/>
  </mergeCells>
  <dataValidations count="4">
    <dataValidation sqref="K5:K35" showDropDown="0" showInputMessage="0" showErrorMessage="1" allowBlank="1" type="list">
      <formula1>SelecaoAvaliacao</formula1>
    </dataValidation>
    <dataValidation sqref="I5:I35" showDropDown="0" showInputMessage="0" showErrorMessage="1" allowBlank="1" type="list">
      <formula1>FasesServicos</formula1>
    </dataValidation>
    <dataValidation sqref="J5:J35" showDropDown="0" showInputMessage="0" showErrorMessage="1" allowBlank="1" type="list">
      <formula1>ImportanciaOrganizacao</formula1>
    </dataValidation>
    <dataValidation sqref="C5:C35" showDropDown="0" showInputMessage="0" showErrorMessage="1" allowBlank="1" type="list">
      <formula1>TipoClienteOperacaoInstancia</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00FF00"/>
    <outlinePr summaryBelow="0" summaryRight="0"/>
    <pageSetUpPr/>
  </sheetPr>
  <dimension ref="A1:G35"/>
  <sheetViews>
    <sheetView showGridLines="0" workbookViewId="0">
      <pane ySplit="4" topLeftCell="A5" activePane="bottomLeft" state="frozen"/>
      <selection pane="bottomLeft" activeCell="B6" sqref="B6"/>
    </sheetView>
  </sheetViews>
  <sheetFormatPr baseColWidth="8" defaultColWidth="12.63" defaultRowHeight="15.75" customHeight="1"/>
  <cols>
    <col width="17.38" customWidth="1" style="384" min="1" max="1"/>
    <col width="27.88" customWidth="1" style="384" min="2" max="2"/>
    <col width="18.5" customWidth="1" style="384" min="3" max="3"/>
    <col width="12.38" customWidth="1" style="384" min="4" max="4"/>
    <col width="32.5" customWidth="1" style="384" min="7" max="7"/>
  </cols>
  <sheetData>
    <row r="1">
      <c r="A1" s="62" t="inlineStr">
        <is>
          <t>Seleção de Áreas</t>
        </is>
      </c>
      <c r="C1" s="63" t="inlineStr">
        <is>
          <t>Obs.: Caso a avaliação seja do MPS-RH, deixar visível esta aba (Áreas) e ocultar (mas não apagar) as abas Projetos e Serviços.</t>
        </is>
      </c>
      <c r="D1" s="62" t="n"/>
      <c r="E1" s="62" t="n"/>
      <c r="F1" s="62" t="n"/>
      <c r="G1" s="62" t="n"/>
    </row>
    <row r="2">
      <c r="A2" s="393" t="inlineStr">
        <is>
          <t>Quantidade de projetos total executados na UO:</t>
        </is>
      </c>
      <c r="B2" s="386" t="n"/>
      <c r="C2" s="65" t="n"/>
      <c r="D2" s="66" t="n"/>
      <c r="E2" s="66" t="n"/>
      <c r="F2" s="66" t="n"/>
      <c r="G2" s="66" t="n"/>
    </row>
    <row r="3">
      <c r="A3" s="393" t="inlineStr">
        <is>
          <t>Número de Gerentes de Áreas na UO:</t>
        </is>
      </c>
      <c r="B3" s="386" t="n"/>
      <c r="C3" s="65" t="n"/>
      <c r="D3" s="66" t="n"/>
      <c r="E3" s="66" t="n"/>
      <c r="F3" s="66" t="n"/>
      <c r="G3" s="66" t="n"/>
    </row>
    <row r="4">
      <c r="A4" s="76" t="inlineStr">
        <is>
          <t>Nome da área</t>
        </is>
      </c>
      <c r="B4" s="76" t="inlineStr">
        <is>
          <t>Descrição das principais atividades/ atribuições</t>
        </is>
      </c>
      <c r="C4" s="76" t="inlineStr">
        <is>
          <t>Esforço horas</t>
        </is>
      </c>
      <c r="D4" s="76" t="inlineStr">
        <is>
          <t>Total de envolvidos na área</t>
        </is>
      </c>
      <c r="E4" s="76" t="inlineStr">
        <is>
          <t>Gerente da Área</t>
        </is>
      </c>
      <c r="F4" s="69" t="inlineStr">
        <is>
          <t>Seleção para avaliação</t>
        </is>
      </c>
      <c r="G4" s="69" t="inlineStr">
        <is>
          <t>Justificativa para seleção da área</t>
        </is>
      </c>
    </row>
    <row r="5">
      <c r="A5" s="133" t="n"/>
      <c r="B5" s="133" t="n"/>
      <c r="C5" s="71" t="n"/>
      <c r="D5" s="71" t="n"/>
      <c r="E5" s="71" t="n"/>
      <c r="F5" s="71" t="n"/>
      <c r="G5" s="71" t="n"/>
    </row>
    <row r="6">
      <c r="A6" s="133" t="n"/>
      <c r="B6" s="133" t="n"/>
      <c r="C6" s="71" t="n"/>
      <c r="D6" s="71" t="n"/>
      <c r="E6" s="71" t="n"/>
      <c r="F6" s="71" t="n"/>
      <c r="G6" s="71" t="n"/>
    </row>
    <row r="7">
      <c r="A7" s="133" t="n"/>
      <c r="B7" s="133" t="n"/>
      <c r="C7" s="71" t="n"/>
      <c r="D7" s="71" t="n"/>
      <c r="E7" s="71" t="n"/>
      <c r="F7" s="71" t="n"/>
      <c r="G7" s="71" t="n"/>
    </row>
    <row r="8">
      <c r="A8" s="133" t="n"/>
      <c r="B8" s="133" t="n"/>
      <c r="C8" s="71" t="n"/>
      <c r="D8" s="71" t="n"/>
      <c r="E8" s="71" t="n"/>
      <c r="F8" s="71" t="n"/>
      <c r="G8" s="71" t="n"/>
    </row>
    <row r="9">
      <c r="A9" s="133" t="n"/>
      <c r="B9" s="133" t="n"/>
      <c r="C9" s="71" t="n"/>
      <c r="D9" s="71" t="n"/>
      <c r="E9" s="71" t="n"/>
      <c r="F9" s="71" t="n"/>
      <c r="G9" s="71" t="n"/>
    </row>
    <row r="10">
      <c r="A10" s="133" t="n"/>
      <c r="B10" s="133" t="n"/>
      <c r="C10" s="71" t="n"/>
      <c r="D10" s="71" t="n"/>
      <c r="E10" s="71" t="n"/>
      <c r="F10" s="71" t="n"/>
      <c r="G10" s="71" t="n"/>
    </row>
    <row r="11">
      <c r="A11" s="133" t="n"/>
      <c r="B11" s="133" t="n"/>
      <c r="C11" s="71" t="n"/>
      <c r="D11" s="71" t="n"/>
      <c r="E11" s="71" t="n"/>
      <c r="F11" s="71" t="n"/>
      <c r="G11" s="71" t="n"/>
    </row>
    <row r="12">
      <c r="A12" s="133" t="n"/>
      <c r="B12" s="133" t="n"/>
      <c r="C12" s="71" t="n"/>
      <c r="D12" s="71" t="n"/>
      <c r="E12" s="71" t="n"/>
      <c r="F12" s="71" t="n"/>
      <c r="G12" s="71" t="n"/>
    </row>
    <row r="13">
      <c r="A13" s="133" t="n"/>
      <c r="B13" s="133" t="n"/>
      <c r="C13" s="71" t="n"/>
      <c r="D13" s="71" t="n"/>
      <c r="E13" s="71" t="n"/>
      <c r="F13" s="71" t="n"/>
      <c r="G13" s="71" t="n"/>
    </row>
    <row r="14">
      <c r="A14" s="133" t="n"/>
      <c r="B14" s="133" t="n"/>
      <c r="C14" s="71" t="n"/>
      <c r="D14" s="71" t="n"/>
      <c r="E14" s="71" t="n"/>
      <c r="F14" s="71" t="n"/>
      <c r="G14" s="71" t="n"/>
    </row>
    <row r="15">
      <c r="A15" s="133" t="n"/>
      <c r="B15" s="133" t="n"/>
      <c r="C15" s="71" t="n"/>
      <c r="D15" s="71" t="n"/>
      <c r="E15" s="71" t="n"/>
      <c r="F15" s="71" t="n"/>
      <c r="G15" s="71" t="n"/>
    </row>
    <row r="16">
      <c r="A16" s="133" t="n"/>
      <c r="B16" s="133" t="n"/>
      <c r="C16" s="71" t="n"/>
      <c r="D16" s="71" t="n"/>
      <c r="E16" s="71" t="n"/>
      <c r="F16" s="71" t="n"/>
      <c r="G16" s="71" t="n"/>
    </row>
    <row r="17">
      <c r="A17" s="133" t="n"/>
      <c r="B17" s="133" t="n"/>
      <c r="C17" s="71" t="n"/>
      <c r="D17" s="71" t="n"/>
      <c r="E17" s="71" t="n"/>
      <c r="F17" s="71" t="n"/>
      <c r="G17" s="71" t="n"/>
    </row>
    <row r="18">
      <c r="A18" s="133" t="n"/>
      <c r="B18" s="133" t="n"/>
      <c r="C18" s="71" t="n"/>
      <c r="D18" s="71" t="n"/>
      <c r="E18" s="71" t="n"/>
      <c r="F18" s="71" t="n"/>
      <c r="G18" s="71" t="n"/>
    </row>
    <row r="19">
      <c r="A19" s="133" t="n"/>
      <c r="B19" s="133" t="n"/>
      <c r="C19" s="71" t="n"/>
      <c r="D19" s="71" t="n"/>
      <c r="E19" s="71" t="n"/>
      <c r="F19" s="71" t="n"/>
      <c r="G19" s="71" t="n"/>
    </row>
    <row r="20">
      <c r="A20" s="133" t="n"/>
      <c r="B20" s="133" t="n"/>
      <c r="C20" s="71" t="n"/>
      <c r="D20" s="71" t="n"/>
      <c r="E20" s="71" t="n"/>
      <c r="F20" s="71" t="n"/>
      <c r="G20" s="71" t="n"/>
    </row>
    <row r="21">
      <c r="A21" s="133" t="n"/>
      <c r="B21" s="133" t="n"/>
      <c r="C21" s="71" t="n"/>
      <c r="D21" s="71" t="n"/>
      <c r="E21" s="71" t="n"/>
      <c r="F21" s="71" t="n"/>
      <c r="G21" s="71" t="n"/>
    </row>
    <row r="22">
      <c r="A22" s="133" t="n"/>
      <c r="B22" s="133" t="n"/>
      <c r="C22" s="71" t="n"/>
      <c r="D22" s="71" t="n"/>
      <c r="E22" s="71" t="n"/>
      <c r="F22" s="71" t="n"/>
      <c r="G22" s="71" t="n"/>
    </row>
    <row r="23">
      <c r="A23" s="133" t="n"/>
      <c r="B23" s="133" t="n"/>
      <c r="C23" s="71" t="n"/>
      <c r="D23" s="71" t="n"/>
      <c r="E23" s="71" t="n"/>
      <c r="F23" s="71" t="n"/>
      <c r="G23" s="71" t="n"/>
    </row>
    <row r="24">
      <c r="A24" s="133" t="n"/>
      <c r="B24" s="133" t="n"/>
      <c r="C24" s="71" t="n"/>
      <c r="D24" s="71" t="n"/>
      <c r="E24" s="71" t="n"/>
      <c r="F24" s="71" t="n"/>
      <c r="G24" s="71" t="n"/>
    </row>
    <row r="25">
      <c r="A25" s="133" t="n"/>
      <c r="B25" s="133" t="n"/>
      <c r="C25" s="71" t="n"/>
      <c r="D25" s="71" t="n"/>
      <c r="E25" s="71" t="n"/>
      <c r="F25" s="71" t="n"/>
      <c r="G25" s="71" t="n"/>
    </row>
    <row r="26">
      <c r="A26" s="133" t="n"/>
      <c r="B26" s="133" t="n"/>
      <c r="C26" s="71" t="n"/>
      <c r="D26" s="71" t="n"/>
      <c r="E26" s="71" t="n"/>
      <c r="F26" s="71" t="n"/>
      <c r="G26" s="71" t="n"/>
    </row>
    <row r="27">
      <c r="A27" s="133" t="n"/>
      <c r="B27" s="133" t="n"/>
      <c r="C27" s="71" t="n"/>
      <c r="D27" s="71" t="n"/>
      <c r="E27" s="71" t="n"/>
      <c r="F27" s="71" t="n"/>
      <c r="G27" s="71" t="n"/>
    </row>
    <row r="28">
      <c r="A28" s="133" t="n"/>
      <c r="B28" s="133" t="n"/>
      <c r="C28" s="71" t="n"/>
      <c r="D28" s="71" t="n"/>
      <c r="E28" s="71" t="n"/>
      <c r="F28" s="71" t="n"/>
      <c r="G28" s="71" t="n"/>
    </row>
    <row r="29">
      <c r="A29" s="133" t="n"/>
      <c r="B29" s="133" t="n"/>
      <c r="C29" s="71" t="n"/>
      <c r="D29" s="71" t="n"/>
      <c r="E29" s="71" t="n"/>
      <c r="F29" s="71" t="n"/>
      <c r="G29" s="71" t="n"/>
    </row>
    <row r="30">
      <c r="A30" s="133" t="n"/>
      <c r="B30" s="133" t="n"/>
      <c r="C30" s="71" t="n"/>
      <c r="D30" s="71" t="n"/>
      <c r="E30" s="71" t="n"/>
      <c r="F30" s="71" t="n"/>
      <c r="G30" s="71" t="n"/>
    </row>
    <row r="31">
      <c r="A31" s="133" t="n"/>
      <c r="B31" s="133" t="n"/>
      <c r="C31" s="71" t="n"/>
      <c r="D31" s="71" t="n"/>
      <c r="E31" s="71" t="n"/>
      <c r="F31" s="71" t="n"/>
      <c r="G31" s="71" t="n"/>
    </row>
    <row r="32">
      <c r="A32" s="133" t="n"/>
      <c r="B32" s="133" t="n"/>
      <c r="C32" s="71" t="n"/>
      <c r="D32" s="71" t="n"/>
      <c r="E32" s="71" t="n"/>
      <c r="F32" s="71" t="n"/>
      <c r="G32" s="71" t="n"/>
    </row>
    <row r="33">
      <c r="A33" s="133" t="n"/>
      <c r="B33" s="133" t="n"/>
      <c r="C33" s="71" t="n"/>
      <c r="D33" s="71" t="n"/>
      <c r="E33" s="71" t="n"/>
      <c r="F33" s="71" t="n"/>
      <c r="G33" s="71" t="n"/>
    </row>
    <row r="34">
      <c r="A34" s="133" t="n"/>
      <c r="B34" s="133" t="n"/>
      <c r="C34" s="71" t="n"/>
      <c r="D34" s="71" t="n"/>
      <c r="E34" s="71" t="n"/>
      <c r="F34" s="71" t="n"/>
      <c r="G34" s="71" t="n"/>
    </row>
    <row r="35">
      <c r="A35" s="133" t="n"/>
      <c r="B35" s="133" t="n"/>
      <c r="C35" s="71" t="n"/>
      <c r="D35" s="71" t="n"/>
      <c r="E35" s="71" t="n"/>
      <c r="F35" s="71" t="n"/>
      <c r="G35" s="71" t="n"/>
    </row>
  </sheetData>
  <autoFilter ref="$A$4:$G$4"/>
  <mergeCells count="3">
    <mergeCell ref="A3:B3"/>
    <mergeCell ref="A2:B2"/>
    <mergeCell ref="A1:B1"/>
  </mergeCells>
  <dataValidations count="1">
    <dataValidation sqref="F5:F35" showDropDown="0" showInputMessage="0" showErrorMessage="1" allowBlank="1" type="list">
      <formula1>SelecaoAvaliacao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4A86E8"/>
    <outlinePr summaryBelow="0" summaryRight="0"/>
    <pageSetUpPr/>
  </sheetPr>
  <dimension ref="A1:E26"/>
  <sheetViews>
    <sheetView showGridLines="0" workbookViewId="0">
      <pane ySplit="2" topLeftCell="A3" activePane="bottomLeft" state="frozen"/>
      <selection pane="bottomLeft" activeCell="B4" sqref="B4"/>
    </sheetView>
  </sheetViews>
  <sheetFormatPr baseColWidth="8" defaultColWidth="12.63" defaultRowHeight="15.75" customHeight="1"/>
  <cols>
    <col width="26.75" customWidth="1" style="384" min="1" max="1"/>
    <col width="18.25" customWidth="1" style="384" min="2" max="2"/>
    <col width="19.5" customWidth="1" style="384" min="3" max="3"/>
    <col width="20.25" customWidth="1" style="384" min="4" max="4"/>
    <col width="19.13" customWidth="1" style="384" min="5" max="5"/>
  </cols>
  <sheetData>
    <row r="1">
      <c r="A1" s="78" t="inlineStr">
        <is>
          <t>PLANO DA AVALIAÇÃO</t>
        </is>
      </c>
    </row>
    <row r="2" ht="7.5" customHeight="1" s="384">
      <c r="A2" s="268" t="n"/>
      <c r="B2" s="268" t="n"/>
      <c r="C2" s="268" t="n"/>
      <c r="D2" s="268" t="n"/>
      <c r="E2" s="268" t="n"/>
    </row>
    <row r="3">
      <c r="A3" s="120" t="inlineStr">
        <is>
          <t>Exclusões de processos e resultados</t>
        </is>
      </c>
      <c r="B3" s="390" t="n"/>
      <c r="C3" s="390" t="n"/>
      <c r="D3" s="390" t="n"/>
      <c r="E3" s="386" t="n"/>
    </row>
    <row r="4">
      <c r="A4" s="79" t="inlineStr">
        <is>
          <t>Processo</t>
        </is>
      </c>
      <c r="B4" s="79" t="inlineStr">
        <is>
          <t>Resultado(s)</t>
        </is>
      </c>
      <c r="C4" s="79" t="inlineStr">
        <is>
          <t>Justificativa</t>
        </is>
      </c>
      <c r="D4" s="390" t="n"/>
      <c r="E4" s="386" t="n"/>
    </row>
    <row r="5">
      <c r="A5" s="31" t="inlineStr">
        <is>
          <t>Não se aplica</t>
        </is>
      </c>
      <c r="B5" s="81" t="n"/>
      <c r="C5" s="81" t="n"/>
      <c r="D5" s="390" t="n"/>
      <c r="E5" s="386" t="n"/>
    </row>
    <row r="6">
      <c r="A6" s="31" t="n"/>
      <c r="B6" s="81" t="n"/>
      <c r="C6" s="81" t="n"/>
      <c r="D6" s="390" t="n"/>
      <c r="E6" s="386" t="n"/>
    </row>
    <row r="7">
      <c r="A7" s="395" t="inlineStr">
        <is>
          <t>Cronograma Geral da Avaliação</t>
        </is>
      </c>
      <c r="B7" s="388" t="n"/>
      <c r="C7" s="388" t="n"/>
      <c r="D7" s="388" t="n"/>
      <c r="E7" s="389" t="n"/>
    </row>
    <row r="8">
      <c r="A8" s="79" t="inlineStr">
        <is>
          <t>Atividade</t>
        </is>
      </c>
      <c r="B8" s="386" t="n"/>
      <c r="C8" s="79" t="inlineStr">
        <is>
          <t>Responsável</t>
        </is>
      </c>
      <c r="D8" s="79" t="inlineStr">
        <is>
          <t>Data Início</t>
        </is>
      </c>
      <c r="E8" s="79" t="inlineStr">
        <is>
          <t>Data Fim</t>
        </is>
      </c>
    </row>
    <row r="9">
      <c r="A9" s="267" t="inlineStr">
        <is>
          <t>Envio dos documentos para preenchimento</t>
        </is>
      </c>
      <c r="B9" s="386" t="n"/>
      <c r="C9" s="85" t="inlineStr">
        <is>
          <t>Avaliador Líder</t>
        </is>
      </c>
      <c r="D9" s="86" t="n"/>
      <c r="E9" s="87" t="n"/>
    </row>
    <row r="10">
      <c r="A10" s="267" t="inlineStr">
        <is>
          <t>Preenchimento das informações da Avaliação</t>
        </is>
      </c>
      <c r="B10" s="386" t="n"/>
      <c r="C10" s="85" t="inlineStr">
        <is>
          <t>Empresa</t>
        </is>
      </c>
      <c r="D10" s="86" t="n"/>
      <c r="E10" s="87" t="n"/>
    </row>
    <row r="11">
      <c r="A11" s="267" t="inlineStr">
        <is>
          <t>Preenchimento da Planilha de Indicadores</t>
        </is>
      </c>
      <c r="B11" s="386" t="n"/>
      <c r="C11" s="85" t="inlineStr">
        <is>
          <t>Empresa</t>
        </is>
      </c>
      <c r="D11" s="88" t="n"/>
      <c r="E11" s="87" t="n"/>
    </row>
    <row r="12">
      <c r="A12" s="267" t="inlineStr">
        <is>
          <t>Avaliação inicial</t>
        </is>
      </c>
      <c r="B12" s="386" t="n"/>
      <c r="C12" s="85" t="inlineStr">
        <is>
          <t>Equipe de Avaliação</t>
        </is>
      </c>
      <c r="D12" s="87">
        <f>DADOS_AVAL!B12</f>
        <v/>
      </c>
      <c r="E12" s="87">
        <f>DADOS_AVAL!E12</f>
        <v/>
      </c>
    </row>
    <row r="13">
      <c r="A13" s="267" t="inlineStr">
        <is>
          <t>Avaliação final</t>
        </is>
      </c>
      <c r="B13" s="386" t="n"/>
      <c r="C13" s="85" t="inlineStr">
        <is>
          <t>Equipe de Avaliação</t>
        </is>
      </c>
      <c r="D13" s="87">
        <f>DADOS_AVAL!B13</f>
        <v/>
      </c>
      <c r="E13" s="87">
        <f>DADOS_AVAL!E13</f>
        <v/>
      </c>
    </row>
    <row r="14">
      <c r="A14" s="267" t="inlineStr">
        <is>
          <t>Publicação do resultado da avaliação no site SOFTEX</t>
        </is>
      </c>
      <c r="B14" s="386" t="n"/>
      <c r="C14" s="85" t="inlineStr">
        <is>
          <t>SOFTEX</t>
        </is>
      </c>
      <c r="D14" s="85" t="inlineStr">
        <is>
          <t>Após cumpridas as formalidades da avaliação</t>
        </is>
      </c>
      <c r="E14" s="386" t="n"/>
    </row>
    <row r="15">
      <c r="A15" s="120">
        <f t="array" ref="A15">INDIRECT("Instancias" &amp; mid(ModeloAvaliado,5,2)) &amp; " Selecionados para a Avaliação"</f>
        <v/>
      </c>
      <c r="B15" s="390" t="n"/>
      <c r="C15" s="390" t="n"/>
      <c r="D15" s="390" t="n"/>
      <c r="E15" s="386" t="n"/>
    </row>
    <row r="16">
      <c r="A16" s="79" t="inlineStr">
        <is>
          <t>Nome</t>
        </is>
      </c>
      <c r="B16" s="79">
        <f t="array" ref="B16">INDIRECT("GestorInstancias" &amp; SIGLA_MODELO())</f>
        <v/>
      </c>
      <c r="C16" s="79" t="inlineStr">
        <is>
          <t>No. de Participantes</t>
        </is>
      </c>
      <c r="D16" s="79">
        <f t="array" ref="D16">INDIRECT("ReferenciaInstancia" &amp; SIGLA_MODELO())</f>
        <v/>
      </c>
      <c r="E16" s="79">
        <f t="array" ref="E16">INDIRECT("StatusInstancias" &amp; SIGLA_MODELO())</f>
        <v/>
      </c>
    </row>
    <row r="17">
      <c r="A17" s="90" t="inlineStr">
        <is>
          <t>FTFRUKI — Super App Força de Vendas</t>
        </is>
      </c>
      <c r="B17" s="91">
        <f>iferror(vlookup($A17,InstanciasSelecionadas,2,false),"-")</f>
        <v/>
      </c>
      <c r="C17" s="92">
        <f>iferror(vlookup($A17,InstanciasSelecionadas,3,false),"-")</f>
        <v/>
      </c>
      <c r="D17" s="92" t="inlineStr">
        <is>
          <t>Concluído</t>
        </is>
      </c>
      <c r="E17" s="92">
        <f>iferror(vlookup($A17,InstanciasSelecionadas,4,false),"-")</f>
        <v/>
      </c>
    </row>
    <row r="18">
      <c r="A18" s="90" t="inlineStr">
        <is>
          <t>AASP — Andamento Processuais</t>
        </is>
      </c>
      <c r="B18" s="91">
        <f>iferror(vlookup($A18,InstanciasSelecionadas,2,false),"-")</f>
        <v/>
      </c>
      <c r="C18" s="92">
        <f>iferror(vlookup($A18,InstanciasSelecionadas,3,false),"-")</f>
        <v/>
      </c>
      <c r="D18" s="92" t="inlineStr">
        <is>
          <t>Fase 5 — Implantação</t>
        </is>
      </c>
      <c r="E18" s="92">
        <f>iferror(vlookup($A18,InstanciasSelecionadas,4,false),"-")</f>
        <v/>
      </c>
    </row>
    <row r="19">
      <c r="A19" s="90" t="inlineStr">
        <is>
          <t>PROFARMA / D1000 — Cadastro de Clientes</t>
        </is>
      </c>
      <c r="B19" s="91">
        <f>iferror(vlookup($A19,InstanciasSelecionadas,2,false),"-")</f>
        <v/>
      </c>
      <c r="C19" s="92">
        <f>iferror(vlookup($A19,InstanciasSelecionadas,3,false),"-")</f>
        <v/>
      </c>
      <c r="D19" s="92" t="inlineStr">
        <is>
          <t>Concluído</t>
        </is>
      </c>
      <c r="E19" s="92">
        <f>iferror(vlookup($A19,InstanciasSelecionadas,4,false),"-")</f>
        <v/>
      </c>
    </row>
    <row r="20">
      <c r="A20" s="90" t="inlineStr">
        <is>
          <t>AASP — CNJ Integração</t>
        </is>
      </c>
      <c r="B20" s="91">
        <f>iferror(vlookup($A20,InstanciasSelecionadas,2,false),"-")</f>
        <v/>
      </c>
      <c r="C20" s="92">
        <f>iferror(vlookup($A20,InstanciasSelecionadas,3,false),"-")</f>
        <v/>
      </c>
      <c r="D20" s="92" t="inlineStr">
        <is>
          <t>Fase 7 — Homologação / Encerramento</t>
        </is>
      </c>
      <c r="E20" s="92">
        <f>iferror(vlookup($A20,InstanciasSelecionadas,4,false),"-")</f>
        <v/>
      </c>
    </row>
    <row r="21">
      <c r="A21" s="90" t="n"/>
      <c r="B21" s="91">
        <f>iferror(vlookup($A21,InstanciasSelecionadas,2,false),"-")</f>
        <v/>
      </c>
      <c r="C21" s="92">
        <f>iferror(vlookup($A21,InstanciasSelecionadas,3,false),"-")</f>
        <v/>
      </c>
      <c r="D21" s="92" t="n"/>
      <c r="E21" s="92">
        <f>iferror(vlookup($A21,InstanciasSelecionadas,4,false),"-")</f>
        <v/>
      </c>
    </row>
    <row r="22">
      <c r="A22" s="90" t="n"/>
      <c r="B22" s="91">
        <f>iferror(vlookup($A22,InstanciasSelecionadas,2,false),"-")</f>
        <v/>
      </c>
      <c r="C22" s="92">
        <f>iferror(vlookup($A22,InstanciasSelecionadas,3,false),"-")</f>
        <v/>
      </c>
      <c r="D22" s="92" t="n"/>
      <c r="E22" s="92">
        <f>iferror(vlookup($A22,InstanciasSelecionadas,4,false),"-")</f>
        <v/>
      </c>
    </row>
    <row r="23">
      <c r="A23" s="90" t="n"/>
      <c r="B23" s="91">
        <f>iferror(vlookup($A23,InstanciasSelecionadas,2,false),"-")</f>
        <v/>
      </c>
      <c r="C23" s="92">
        <f>iferror(vlookup($A23,InstanciasSelecionadas,3,false),"-")</f>
        <v/>
      </c>
      <c r="D23" s="92" t="n"/>
      <c r="E23" s="92">
        <f>iferror(vlookup($A23,InstanciasSelecionadas,4,false),"-")</f>
        <v/>
      </c>
    </row>
    <row r="24">
      <c r="A24" s="90" t="n"/>
      <c r="B24" s="91">
        <f>iferror(vlookup($A24,InstanciasSelecionadas,2,false),"-")</f>
        <v/>
      </c>
      <c r="C24" s="92">
        <f>iferror(vlookup($A24,InstanciasSelecionadas,3,false),"-")</f>
        <v/>
      </c>
      <c r="D24" s="92" t="n"/>
      <c r="E24" s="92">
        <f>iferror(vlookup($A24,InstanciasSelecionadas,4,false),"-")</f>
        <v/>
      </c>
    </row>
    <row r="25">
      <c r="A25" s="90" t="n"/>
      <c r="B25" s="91">
        <f>iferror(vlookup($A25,InstanciasSelecionadas,2,false),"-")</f>
        <v/>
      </c>
      <c r="C25" s="92">
        <f>iferror(vlookup($A25,InstanciasSelecionadas,3,false),"-")</f>
        <v/>
      </c>
      <c r="D25" s="92" t="n"/>
      <c r="E25" s="92">
        <f>iferror(vlookup($A25,InstanciasSelecionadas,4,false),"-")</f>
        <v/>
      </c>
    </row>
    <row r="26">
      <c r="A26" s="90" t="n"/>
      <c r="B26" s="91">
        <f>iferror(vlookup($A26,InstanciasSelecionadas,2,false),"-")</f>
        <v/>
      </c>
      <c r="C26" s="92">
        <f>iferror(vlookup($A26,InstanciasSelecionadas,3,false),"-")</f>
        <v/>
      </c>
      <c r="D26" s="92" t="n"/>
      <c r="E26" s="92">
        <f>iferror(vlookup($A26,InstanciasSelecionadas,4,false),"-")</f>
        <v/>
      </c>
    </row>
  </sheetData>
  <mergeCells count="15">
    <mergeCell ref="C5:E5"/>
    <mergeCell ref="A15:E15"/>
    <mergeCell ref="A7:E7"/>
    <mergeCell ref="A11:B11"/>
    <mergeCell ref="A10:B10"/>
    <mergeCell ref="C4:E4"/>
    <mergeCell ref="A13:B13"/>
    <mergeCell ref="A14:B14"/>
    <mergeCell ref="D14:E14"/>
    <mergeCell ref="A1:E1"/>
    <mergeCell ref="A12:B12"/>
    <mergeCell ref="A9:B9"/>
    <mergeCell ref="A8:B8"/>
    <mergeCell ref="C6:E6"/>
    <mergeCell ref="A3:E3"/>
  </mergeCells>
  <dataValidations count="3">
    <dataValidation sqref="A5:A6" showDropDown="0" showInputMessage="0" showErrorMessage="1" allowBlank="1" type="list">
      <formula1>ExclusoesModeloSelecionado</formula1>
    </dataValidation>
    <dataValidation sqref="A17:A26" showDropDown="0" showInputMessage="0" showErrorMessage="1" allowBlank="1" type="list">
      <formula1>NomesInstanciasSelecionadas</formula1>
    </dataValidation>
    <dataValidation sqref="D12:E13 E9:E11" showDropDown="1" showInputMessage="1" showErrorMessage="1" allowBlank="1" prompt="Entre uma data no formato DD/MM/AAAA ou clique duplo para escolher uma data no calendário apresentado." type="custom">
      <formula1>OR(NOT(ISERROR(DATEVALUE(D9))), AND(ISNUMBER(D9), LEFT(CELL("format", D9))="D"))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4A86E8"/>
    <outlinePr summaryBelow="0" summaryRight="0"/>
    <pageSetUpPr fitToPage="1"/>
  </sheetPr>
  <dimension ref="A1:D36"/>
  <sheetViews>
    <sheetView workbookViewId="0">
      <selection activeCell="A1" sqref="A1"/>
    </sheetView>
  </sheetViews>
  <sheetFormatPr baseColWidth="8" defaultColWidth="12.63" defaultRowHeight="15.75" customHeight="1"/>
  <cols>
    <col width="38.13" customWidth="1" style="384" min="1" max="1"/>
    <col width="43.88" customWidth="1" style="384" min="2" max="2"/>
    <col width="13" customWidth="1" style="384" min="3" max="3"/>
    <col width="1.5" customWidth="1" style="384" min="4" max="4"/>
  </cols>
  <sheetData>
    <row r="1" ht="57.75" customHeight="1" s="384">
      <c r="A1" s="93" t="n"/>
      <c r="B1" s="101" t="n"/>
      <c r="C1" s="93" t="n"/>
      <c r="D1" s="93" t="n"/>
    </row>
    <row r="2" ht="33.75" customHeight="1" s="384">
      <c r="A2" s="95" t="inlineStr">
        <is>
          <t>Acordo de Confidencialidade para Avaliação MPS</t>
        </is>
      </c>
      <c r="D2" s="95" t="n"/>
    </row>
    <row r="3" ht="359.25" customHeight="1" s="384">
      <c r="A3" s="98" t="inlineStr">
        <is>
          <t xml:space="preserve">O presente acordo é feito para facilitar uma discussão aberta e franca dos processos da organização avaliada, de maneira que os problemas críticos possam ser abordados e os respectivos processos melhorados. Este acordo estabelece um entendimento mútuo, entre a equipe de avaliadores MPS e aqueles que participam da avaliação, de que os seguintes pontos serão observados no tratamento de toda informação recolhida durante a avaliação e após a mesma, de maneira permanente. 
1 - Em conformidade com o disposto na Norma ISO/IEC 33002:2015, toda informação pertinente à avaliação e que suportará a compreensão dos seus resultados, deverá ser compilada e incluída no registro da avaliação, para retenção pelo patrocinador da avaliação ou sua autoridade delegada na organização avaliada.  
2 - Os membros da equipe de avaliadores, individual e coletivamente, concordam em tratar como confidencial toda informação coletada de revisões de artefatos e entrevistas.   Esta informação não será relatada a ninguém fora da equipe de avaliação, de maneira que possam ser identificadas pessoas ou projetos como fontes de informação.
3 - Os resultados da avaliação e qualquer outra informação contida nas suas conclusões, recomendações e relatório final, serão apresentadas somente de forma sumária, de maneira que nenhuma pessoa ou projeto possa ser identificado. 
4 - Cada participante da avaliação (membros da equipe de avaliação e entrevistados) concorda em não discutir, comunicar ou compartilhar informação que tenha obtido durante as entrevistas ou discussões de avaliação com nenhuma outra pessoa que não pertença à equipe de avaliação. Para continuar participando da avaliação, cada participante aceita acatar os princípios de confidencialidade aqui estabelecidos.
5 - Todas as conclusões desta avaliação são propriedade da organização avaliada e não podem ser discutidas, comunicadas ou distribuídas de forma alguma, fora da organização avaliada, sem a aprovação do patrocinador da avaliação, abaixo assinado. 
6 - Uma cópia dos resultados da avaliação será mantida em uma base de dados confidencial pelo Avaliador-líder, abaixo assinado, podendo ser utilizada posteriormente para análises ou pesquisas solicitadas pela organização avaliada. A informação resultante destas análises deverá estar de acordo com os pontos 2-4 acima mencionados. 
7 - Uma cópia dos resultados da avaliação será armazenada em uma base de dados confidencial da Sociedade Softex, coordenadora do Programa MPS.BR, podendo ser utilizada para fins de pesquisas. </t>
        </is>
      </c>
      <c r="D3" s="98" t="n"/>
    </row>
    <row r="4">
      <c r="A4" s="97" t="inlineStr">
        <is>
          <t>8- Os resultados oficiais da avaliação serão disponibilizados no Portal SOFTEX (www.softex.br/mpsbr). Apenas a publicação do resultado da avaliação – Declaração da Avaliação de Processos -  no site da SOFTEX tem validade oficial.  Após o período de 3 anos (período de validade da avaliação) o resultado será retirado do Portal SOFTEX (www.softex.br/mpsbr) e não será concedida extensão de prazo de validade, em hipótese alguma.
RETIRAR ESTA LINHA SE A OPÇÃO DA EMPRESA FOR: NÃO PUBLICAR O RESULTADO</t>
        </is>
      </c>
      <c r="D4" s="97" t="n"/>
    </row>
    <row r="5">
      <c r="A5" s="97" t="inlineStr">
        <is>
          <t>8- A empresa não autoriza a Sociedade SOFTEX a publicar os resultados desta avaliação no Portal SOFTEX (www.softex.br/mpsbr). Como consequência a Declaração da Avaliação de Processos não poderá ser disponibilizada pela SOFTEX. Como o resultado não ser tornado público, a empresa só poderá utilizá-lo internamente.
RETIRAR ESTA LINHA SE A OPÇÃO DA EMPRESA FOR: PUBLICAR O RESULTADO</t>
        </is>
      </c>
      <c r="D5" s="97" t="n"/>
    </row>
    <row r="6">
      <c r="A6" s="98" t="inlineStr">
        <is>
          <t>9- A SOFTEX não emite atestados ou quaisquer outras declarações em relação à avaliação oficial ou à sua validade que não esteja publicado no Portal SOFTEX (www.softex.br/mpsbr).</t>
        </is>
      </c>
      <c r="D6" s="98" t="n"/>
    </row>
    <row r="7">
      <c r="A7" s="99" t="n"/>
      <c r="B7" s="101" t="n"/>
      <c r="C7" s="101" t="n"/>
      <c r="D7" s="101" t="n"/>
    </row>
    <row r="8">
      <c r="A8" s="101" t="inlineStr">
        <is>
          <t>As assinaturas abaixo expressam a concordância quanto ao cumprimento dos termos deste acordo, por prazo indeterminado.</t>
        </is>
      </c>
      <c r="B8" s="101" t="n"/>
      <c r="C8" s="101" t="n"/>
      <c r="D8" s="101" t="n"/>
    </row>
    <row r="9">
      <c r="A9" s="268" t="n"/>
      <c r="B9" s="101" t="n"/>
      <c r="C9" s="101" t="n"/>
      <c r="D9" s="101" t="n"/>
    </row>
    <row r="10">
      <c r="A10" s="103" t="inlineStr">
        <is>
          <t>Local e data:</t>
        </is>
      </c>
      <c r="B10" s="349">
        <f> CidadeUnidadeOrganizacional &amp; ", " &amp; DAY(PLANO!D12) &amp; "/" &amp; Month(PLANO!D12) &amp; "/" &amp; Year(PLANO!D12)</f>
        <v/>
      </c>
      <c r="C10" s="101" t="n"/>
      <c r="D10" s="101" t="n"/>
    </row>
    <row r="11">
      <c r="A11" s="105" t="n"/>
      <c r="B11" s="101" t="n"/>
      <c r="C11" s="101" t="n"/>
      <c r="D11" s="101" t="n"/>
    </row>
    <row r="12">
      <c r="A12" s="106" t="inlineStr">
        <is>
          <t>RETIRAR ESTA LINHA ANTES DE SOLICITAR AS ASSINATURAS. Rever as linhas abaixo para refletir os papéis desempenhados nesta avaliação, deixar apenas os papéis pertinentes. O documento deve ser assinado eletronicamente em plataforma com certificado digital ICP.</t>
        </is>
      </c>
      <c r="D12" s="101" t="n"/>
    </row>
    <row r="13">
      <c r="A13" s="105" t="inlineStr">
        <is>
          <t>Membros da Equipe de Avaliação:</t>
        </is>
      </c>
      <c r="B13" s="101" t="n"/>
      <c r="C13" s="101" t="n"/>
      <c r="D13" s="101" t="n"/>
    </row>
    <row r="14">
      <c r="A14" s="268" t="n"/>
      <c r="B14" s="268" t="n"/>
      <c r="C14" s="268" t="n"/>
      <c r="D14" s="101" t="n"/>
    </row>
    <row r="15">
      <c r="A15" s="268" t="inlineStr">
        <is>
          <t xml:space="preserve">Avaliador Líder: </t>
        </is>
      </c>
      <c r="B15" s="268">
        <f>DADOS_AVAL!B21</f>
        <v/>
      </c>
      <c r="D15" s="101" t="n"/>
    </row>
    <row r="16">
      <c r="A16" s="268" t="n"/>
      <c r="B16" s="101" t="n"/>
      <c r="C16" s="101" t="n"/>
      <c r="D16" s="101" t="n"/>
    </row>
    <row r="17">
      <c r="A17" s="268" t="inlineStr">
        <is>
          <t>Avaliador Adjunto:</t>
        </is>
      </c>
      <c r="B17" s="268">
        <f>DADOS_AVAL!B23</f>
        <v/>
      </c>
      <c r="D17" s="101" t="n"/>
    </row>
    <row r="18">
      <c r="A18" s="268" t="n"/>
      <c r="B18" s="268" t="n"/>
      <c r="C18" s="101" t="n"/>
      <c r="D18" s="101" t="n"/>
    </row>
    <row r="19">
      <c r="A19" s="268" t="inlineStr">
        <is>
          <t>Avaliador Adjunto:</t>
        </is>
      </c>
      <c r="B19" s="268">
        <f>DADOS_AVAL!B24</f>
        <v/>
      </c>
      <c r="D19" s="101" t="n"/>
    </row>
    <row r="20">
      <c r="A20" s="108" t="n"/>
      <c r="B20" s="101" t="n"/>
      <c r="C20" s="101" t="n"/>
      <c r="D20" s="101" t="n"/>
    </row>
    <row r="21">
      <c r="A21" s="268" t="inlineStr">
        <is>
          <t>Avaliador Adjunto:</t>
        </is>
      </c>
      <c r="B21" s="268">
        <f>DADOS_AVAL!B25</f>
        <v/>
      </c>
      <c r="D21" s="101" t="n"/>
    </row>
    <row r="22">
      <c r="A22" s="108" t="n"/>
      <c r="B22" s="101" t="n"/>
      <c r="C22" s="101" t="n"/>
      <c r="D22" s="101" t="n"/>
    </row>
    <row r="23">
      <c r="A23" s="108" t="inlineStr">
        <is>
          <t>Avaliador Adjunto:</t>
        </is>
      </c>
      <c r="B23" s="268">
        <f>DADOS_AVAL!B26</f>
        <v/>
      </c>
      <c r="D23" s="101" t="n"/>
    </row>
    <row r="24">
      <c r="A24" s="108" t="n"/>
      <c r="B24" s="268" t="n"/>
      <c r="C24" s="268" t="n"/>
      <c r="D24" s="101" t="n"/>
    </row>
    <row r="25">
      <c r="A25" s="108" t="inlineStr">
        <is>
          <t>Avaliador Adjunto:</t>
        </is>
      </c>
      <c r="B25" s="268">
        <f>DADOS_AVAL!B27</f>
        <v/>
      </c>
      <c r="D25" s="101" t="n"/>
    </row>
    <row r="26">
      <c r="A26" s="108" t="n"/>
      <c r="B26" s="268" t="n"/>
      <c r="C26" s="268" t="n"/>
      <c r="D26" s="101" t="n"/>
    </row>
    <row r="27">
      <c r="A27" s="108" t="inlineStr">
        <is>
          <t>Observador do Avaliador líder:</t>
        </is>
      </c>
      <c r="B27" s="268">
        <f>DADOS_AVAL!B22</f>
        <v/>
      </c>
      <c r="D27" s="101" t="n"/>
    </row>
    <row r="28">
      <c r="A28" s="108" t="n"/>
      <c r="B28" s="268" t="n"/>
      <c r="C28" s="101" t="n"/>
      <c r="D28" s="101" t="n"/>
    </row>
    <row r="29">
      <c r="A29" s="108" t="inlineStr">
        <is>
          <t>Representante da Empresa:</t>
        </is>
      </c>
      <c r="B29" s="268">
        <f>DADOS_AVAL!A30</f>
        <v/>
      </c>
      <c r="D29" s="101" t="n"/>
    </row>
    <row r="30">
      <c r="A30" s="108" t="n"/>
      <c r="B30" s="101" t="n"/>
      <c r="C30" s="101" t="n"/>
      <c r="D30" s="101" t="n"/>
    </row>
    <row r="31">
      <c r="A31" s="108" t="inlineStr">
        <is>
          <t>Representante da Empresa:</t>
        </is>
      </c>
      <c r="B31" s="268">
        <f>DADOS_AVAL!A32</f>
        <v/>
      </c>
      <c r="D31" s="101" t="n"/>
    </row>
    <row r="32">
      <c r="A32" s="108" t="n"/>
      <c r="B32" s="101" t="n"/>
      <c r="C32" s="101" t="n"/>
      <c r="D32" s="101" t="n"/>
    </row>
    <row r="33">
      <c r="A33" s="108" t="inlineStr">
        <is>
          <t>Organização Avaliada (Patrocinador da avaliação):</t>
        </is>
      </c>
      <c r="B33" s="268">
        <f>RazaoSocial &amp; ", " &amp; NomePatrocinador &amp; ", " &amp; CargoPatrocinador</f>
        <v/>
      </c>
      <c r="D33" s="101" t="n"/>
    </row>
    <row r="34">
      <c r="A34" s="108" t="n"/>
      <c r="B34" s="108" t="n"/>
      <c r="C34" s="101" t="n"/>
      <c r="D34" s="101" t="n"/>
    </row>
    <row r="35">
      <c r="A35" s="108" t="inlineStr">
        <is>
          <t>Sociedade Softex:</t>
        </is>
      </c>
      <c r="B35" s="108" t="inlineStr">
        <is>
          <t>Gestor MPSBR Softex</t>
        </is>
      </c>
      <c r="C35" s="101" t="n"/>
      <c r="D35" s="101" t="n"/>
    </row>
    <row r="36">
      <c r="A36" s="268" t="n"/>
      <c r="B36" s="101" t="n"/>
      <c r="C36" s="101" t="n"/>
      <c r="D36" s="101" t="n"/>
    </row>
  </sheetData>
  <mergeCells count="16">
    <mergeCell ref="B21:C21"/>
    <mergeCell ref="B15:C15"/>
    <mergeCell ref="B33:C33"/>
    <mergeCell ref="A5:C5"/>
    <mergeCell ref="B25:C25"/>
    <mergeCell ref="B29:C29"/>
    <mergeCell ref="B19:C19"/>
    <mergeCell ref="A12:C12"/>
    <mergeCell ref="A6:C6"/>
    <mergeCell ref="B23:C23"/>
    <mergeCell ref="A3:C3"/>
    <mergeCell ref="B31:C31"/>
    <mergeCell ref="B17:C17"/>
    <mergeCell ref="B27:C27"/>
    <mergeCell ref="A4:C4"/>
    <mergeCell ref="A2:C2"/>
  </mergeCells>
  <printOptions horizontalCentered="1"/>
  <pageMargins left="0.7" right="0.7" top="0.75" bottom="0.75" header="0" footer="0"/>
  <pageSetup orientation="portrait" paperSize="9" fitToHeight="0" pageOrder="overThenDown"/>
  <drawing xmlns:r="http://schemas.openxmlformats.org/officeDocument/2006/relationships" r:id="rId1"/>
</worksheet>
</file>

<file path=xl/worksheets/sheet8.xml><?xml version="1.0" encoding="utf-8"?>
<worksheet xmlns="http://schemas.openxmlformats.org/spreadsheetml/2006/main">
  <sheetPr>
    <tabColor rgb="FFFF9900"/>
    <outlinePr summaryBelow="0" summaryRight="0"/>
    <pageSetUpPr/>
  </sheetPr>
  <dimension ref="A1:J497"/>
  <sheetViews>
    <sheetView showGridLines="0" workbookViewId="0">
      <pane ySplit="3" topLeftCell="A4" activePane="bottomLeft" state="frozen"/>
      <selection pane="bottomLeft" activeCell="B5" sqref="B5"/>
    </sheetView>
  </sheetViews>
  <sheetFormatPr baseColWidth="8" defaultColWidth="12.63" defaultRowHeight="15.75" customHeight="1"/>
  <cols>
    <col width="13.75" customWidth="1" style="384" min="1" max="1"/>
    <col width="28.5" customWidth="1" style="384" min="2" max="2"/>
    <col width="26.63" customWidth="1" style="384" min="3" max="3"/>
    <col width="21.5" customWidth="1" style="384" min="4" max="4"/>
    <col width="22.25" customWidth="1" style="384" min="5" max="5"/>
    <col width="20" customWidth="1" style="384" min="6" max="6"/>
    <col width="2.75" customWidth="1" style="384" min="7" max="7"/>
    <col width="16.13" customWidth="1" style="384" min="8" max="8"/>
    <col width="6.75" customWidth="1" style="384" min="9" max="9"/>
  </cols>
  <sheetData>
    <row r="1">
      <c r="A1" s="1">
        <f t="array" ref="A1">UPPER("EQUIPE ENVOLVIDA COM " &amp; INDIRECT("Processos" &amp; SIGLA_MODELO()))</f>
        <v/>
      </c>
      <c r="G1" s="268" t="n"/>
      <c r="H1" s="268" t="n"/>
      <c r="I1" s="109" t="n"/>
      <c r="J1" s="268" t="n"/>
    </row>
    <row r="2" ht="5.25" customHeight="1" s="384">
      <c r="A2" s="268" t="n"/>
      <c r="B2" s="268" t="n"/>
      <c r="C2" s="268" t="n"/>
      <c r="D2" s="268" t="n"/>
      <c r="E2" s="268" t="n"/>
      <c r="F2" s="268" t="n"/>
      <c r="G2" s="268" t="n"/>
      <c r="H2" s="268" t="n"/>
      <c r="I2" s="109" t="n"/>
      <c r="J2" s="268" t="n"/>
    </row>
    <row r="3">
      <c r="A3" s="110" t="inlineStr">
        <is>
          <t>Seleção
Entrevista</t>
        </is>
      </c>
      <c r="B3" s="110" t="inlineStr">
        <is>
          <t>Nome</t>
        </is>
      </c>
      <c r="C3" s="110">
        <f t="array" ref="C3">INDIRECT("InstanciaEquipe" &amp; mid(ModeloAvaliado,5,2))</f>
        <v/>
      </c>
      <c r="D3" s="110">
        <f t="array" ref="D3">INDIRECT("PapelEquipe" &amp; mid(ModeloAvaliado,5,2))</f>
        <v/>
      </c>
      <c r="E3" s="111" t="inlineStr">
        <is>
          <t>Cargo organizacional</t>
        </is>
      </c>
      <c r="F3" s="110" t="inlineStr">
        <is>
          <t>Nome da Chefia</t>
        </is>
      </c>
      <c r="G3" s="268" t="n"/>
      <c r="H3" s="113" t="inlineStr">
        <is>
          <t>Instâncias na Avaliação</t>
        </is>
      </c>
      <c r="I3" s="113" t="inlineStr">
        <is>
          <t>Qtd.</t>
        </is>
      </c>
      <c r="J3" s="268" t="n"/>
    </row>
    <row r="4">
      <c r="A4" s="267" t="inlineStr">
        <is>
          <t>Sim</t>
        </is>
      </c>
      <c r="B4" s="267" t="inlineStr">
        <is>
          <t>Abraão Oliveira</t>
        </is>
      </c>
      <c r="C4" s="267" t="inlineStr">
        <is>
          <t>FTFRUKI — Super App Força de Vendas</t>
        </is>
      </c>
      <c r="D4" s="267" t="inlineStr">
        <is>
          <t>Gerente de Projeto / Product Owner</t>
        </is>
      </c>
      <c r="E4" s="267" t="inlineStr">
        <is>
          <t>Gerente de Projetos</t>
        </is>
      </c>
      <c r="F4" s="267" t="inlineStr">
        <is>
          <t>Wilson Yamada</t>
        </is>
      </c>
      <c r="G4" s="268" t="n"/>
      <c r="H4" s="114">
        <f t="array" ref="H4:H13">PLANO!A17:A26</f>
        <v/>
      </c>
      <c r="I4" s="115">
        <f>COUNTIFS($C$4:$C$500,H4)</f>
        <v/>
      </c>
      <c r="J4" s="268" t="n"/>
    </row>
    <row r="5">
      <c r="A5" s="267" t="inlineStr">
        <is>
          <t>Não</t>
        </is>
      </c>
      <c r="B5" s="267" t="inlineStr">
        <is>
          <t>Luca Watson</t>
        </is>
      </c>
      <c r="C5" s="267" t="inlineStr">
        <is>
          <t>FTFRUKI — Super App Força de Vendas</t>
        </is>
      </c>
      <c r="D5" s="267" t="inlineStr">
        <is>
          <t>Desenvolvedor Front-End (React Native)</t>
        </is>
      </c>
      <c r="E5" s="267" t="inlineStr">
        <is>
          <t>Desenvolvedor</t>
        </is>
      </c>
      <c r="F5" s="267" t="inlineStr">
        <is>
          <t>Abraão Oliveira</t>
        </is>
      </c>
      <c r="G5" s="268" t="n"/>
      <c r="H5" s="114" t="n"/>
      <c r="I5" s="115">
        <f>COUNTIFS($C$4:$C$500,H5)</f>
        <v/>
      </c>
      <c r="J5" s="268" t="n"/>
    </row>
    <row r="6">
      <c r="A6" s="267" t="inlineStr">
        <is>
          <t>Não</t>
        </is>
      </c>
      <c r="B6" s="267" t="inlineStr">
        <is>
          <t>Thiago Gomes</t>
        </is>
      </c>
      <c r="C6" s="267" t="inlineStr">
        <is>
          <t>FTFRUKI — Super App Força de Vendas</t>
        </is>
      </c>
      <c r="D6" s="267" t="inlineStr">
        <is>
          <t>Desenvolvedor Front-End (React Native)</t>
        </is>
      </c>
      <c r="E6" s="267" t="inlineStr">
        <is>
          <t>Desenvolvedor</t>
        </is>
      </c>
      <c r="F6" s="267" t="inlineStr">
        <is>
          <t>Abraão Oliveira</t>
        </is>
      </c>
      <c r="G6" s="268" t="n"/>
      <c r="H6" s="114" t="n"/>
      <c r="I6" s="115">
        <f>COUNTIFS($C$4:$C$500,H6)</f>
        <v/>
      </c>
      <c r="J6" s="268" t="n"/>
    </row>
    <row r="7">
      <c r="A7" s="267" t="inlineStr">
        <is>
          <t>Não</t>
        </is>
      </c>
      <c r="B7" s="267" t="inlineStr">
        <is>
          <t>Brenda Chrystie</t>
        </is>
      </c>
      <c r="C7" s="267" t="inlineStr">
        <is>
          <t>FTFRUKI — Super App Força de Vendas</t>
        </is>
      </c>
      <c r="D7" s="267" t="inlineStr">
        <is>
          <t>UX/UI Designer / Analista de Negócio</t>
        </is>
      </c>
      <c r="E7" s="267" t="inlineStr">
        <is>
          <t>Designer UX/UI</t>
        </is>
      </c>
      <c r="F7" s="267" t="inlineStr">
        <is>
          <t>Abraão Oliveira</t>
        </is>
      </c>
      <c r="G7" s="268" t="n"/>
      <c r="H7" s="114" t="n"/>
      <c r="I7" s="115">
        <f>COUNTIFS($C$4:$C$500,H7)</f>
        <v/>
      </c>
      <c r="J7" s="268" t="n"/>
    </row>
    <row r="8">
      <c r="A8" s="267" t="inlineStr">
        <is>
          <t>Não</t>
        </is>
      </c>
      <c r="B8" s="267" t="inlineStr">
        <is>
          <t>Tiago Barbosa Nascimento</t>
        </is>
      </c>
      <c r="C8" s="267" t="inlineStr">
        <is>
          <t>FTFRUKI — Super App Força de Vendas</t>
        </is>
      </c>
      <c r="D8" s="267" t="inlineStr">
        <is>
          <t>COO / Gestão Comercial</t>
        </is>
      </c>
      <c r="E8" s="267" t="inlineStr">
        <is>
          <t>CEO / Founder</t>
        </is>
      </c>
      <c r="F8" s="267" t="inlineStr"/>
      <c r="G8" s="268" t="n"/>
      <c r="H8" s="114" t="n"/>
      <c r="I8" s="115">
        <f>COUNTIFS($C$4:$C$500,H8)</f>
        <v/>
      </c>
      <c r="J8" s="268" t="n"/>
    </row>
    <row r="9">
      <c r="A9" s="267" t="inlineStr">
        <is>
          <t>Sim</t>
        </is>
      </c>
      <c r="B9" s="267" t="inlineStr">
        <is>
          <t>Abraão Oliveira</t>
        </is>
      </c>
      <c r="C9" s="267" t="inlineStr">
        <is>
          <t>AASP — Andamento Processuais</t>
        </is>
      </c>
      <c r="D9" s="267" t="inlineStr">
        <is>
          <t>Gerente de Projeto</t>
        </is>
      </c>
      <c r="E9" s="267" t="inlineStr">
        <is>
          <t>Gerente de Projetos</t>
        </is>
      </c>
      <c r="F9" s="267" t="inlineStr">
        <is>
          <t>Wilson Yamada</t>
        </is>
      </c>
      <c r="G9" s="268" t="n"/>
      <c r="H9" s="114" t="n"/>
      <c r="I9" s="115">
        <f>COUNTIFS($C$4:$C$500,H9)</f>
        <v/>
      </c>
      <c r="J9" s="268" t="n"/>
    </row>
    <row r="10">
      <c r="A10" s="267" t="inlineStr">
        <is>
          <t>Sim</t>
        </is>
      </c>
      <c r="B10" s="267" t="inlineStr">
        <is>
          <t>Cézar Hiraki Velázquez</t>
        </is>
      </c>
      <c r="C10" s="267" t="inlineStr">
        <is>
          <t>AASP — Andamento Processuais</t>
        </is>
      </c>
      <c r="D10" s="267" t="inlineStr">
        <is>
          <t>Tech Lead / Arquiteto / DevOps</t>
        </is>
      </c>
      <c r="E10" s="267" t="inlineStr">
        <is>
          <t>Arquiteto de Software</t>
        </is>
      </c>
      <c r="F10" s="267" t="inlineStr">
        <is>
          <t>Abraão Oliveira</t>
        </is>
      </c>
      <c r="G10" s="268" t="n"/>
      <c r="H10" s="114" t="n"/>
      <c r="I10" s="115">
        <f>COUNTIFS($C$4:$C$500,H10)</f>
        <v/>
      </c>
      <c r="J10" s="268" t="n"/>
    </row>
    <row r="11">
      <c r="A11" s="267" t="inlineStr">
        <is>
          <t>Não</t>
        </is>
      </c>
      <c r="B11" s="267" t="inlineStr">
        <is>
          <t>Raony Chagas</t>
        </is>
      </c>
      <c r="C11" s="267" t="inlineStr">
        <is>
          <t>AASP — Andamento Processuais</t>
        </is>
      </c>
      <c r="D11" s="267" t="inlineStr">
        <is>
          <t>Desenvolvedor Sênior</t>
        </is>
      </c>
      <c r="E11" s="267" t="inlineStr">
        <is>
          <t>Desenvolvedor Sênior</t>
        </is>
      </c>
      <c r="F11" s="267" t="inlineStr">
        <is>
          <t>Cézar Hiraki Velázquez</t>
        </is>
      </c>
      <c r="G11" s="268" t="n"/>
      <c r="H11" s="114" t="n"/>
      <c r="I11" s="115">
        <f>COUNTIFS($C$4:$C$500,H11)</f>
        <v/>
      </c>
      <c r="J11" s="268" t="n"/>
    </row>
    <row r="12">
      <c r="A12" s="267" t="inlineStr">
        <is>
          <t>Não</t>
        </is>
      </c>
      <c r="B12" s="267" t="inlineStr">
        <is>
          <t>Mateus Veloso</t>
        </is>
      </c>
      <c r="C12" s="267" t="inlineStr">
        <is>
          <t>AASP — Andamento Processuais</t>
        </is>
      </c>
      <c r="D12" s="267" t="inlineStr">
        <is>
          <t>Desenvolvedor (Suporte)</t>
        </is>
      </c>
      <c r="E12" s="267" t="inlineStr">
        <is>
          <t>Desenvolvedor</t>
        </is>
      </c>
      <c r="F12" s="267" t="inlineStr">
        <is>
          <t>Cézar Hiraki Velázquez</t>
        </is>
      </c>
      <c r="G12" s="268" t="n"/>
      <c r="H12" s="114" t="n"/>
      <c r="I12" s="115">
        <f>COUNTIFS($C$4:$C$500,H12)</f>
        <v/>
      </c>
      <c r="J12" s="268" t="n"/>
    </row>
    <row r="13">
      <c r="A13" s="267" t="inlineStr">
        <is>
          <t>Não</t>
        </is>
      </c>
      <c r="B13" s="267" t="inlineStr">
        <is>
          <t>Caroline Sousa</t>
        </is>
      </c>
      <c r="C13" s="267" t="inlineStr">
        <is>
          <t>AASP — Andamento Processuais</t>
        </is>
      </c>
      <c r="D13" s="267" t="inlineStr">
        <is>
          <t>Analista de QA</t>
        </is>
      </c>
      <c r="E13" s="267" t="inlineStr">
        <is>
          <t>Analista de QA</t>
        </is>
      </c>
      <c r="F13" s="267" t="inlineStr">
        <is>
          <t>Abraão Oliveira</t>
        </is>
      </c>
      <c r="G13" s="268" t="n"/>
      <c r="H13" s="114" t="n"/>
      <c r="I13" s="115">
        <f>COUNTIFS($C$4:$C$500,H13)</f>
        <v/>
      </c>
      <c r="J13" s="268" t="n"/>
    </row>
    <row r="14">
      <c r="A14" s="267" t="inlineStr">
        <is>
          <t>Sim</t>
        </is>
      </c>
      <c r="B14" s="267" t="inlineStr">
        <is>
          <t>Abraão Oliveira</t>
        </is>
      </c>
      <c r="C14" s="267" t="inlineStr">
        <is>
          <t>PROFARMA / D1000 — Cadastro de Clientes</t>
        </is>
      </c>
      <c r="D14" s="267" t="inlineStr">
        <is>
          <t>Gerente de Projeto / Account Manager</t>
        </is>
      </c>
      <c r="E14" s="267" t="inlineStr">
        <is>
          <t>Gerente de Projetos</t>
        </is>
      </c>
      <c r="F14" s="267" t="inlineStr">
        <is>
          <t>Wilson Yamada</t>
        </is>
      </c>
      <c r="G14" s="268" t="n"/>
      <c r="H14" s="268" t="n"/>
      <c r="I14" s="109" t="n"/>
      <c r="J14" s="268" t="n"/>
    </row>
    <row r="15">
      <c r="A15" s="267" t="inlineStr">
        <is>
          <t>Sim</t>
        </is>
      </c>
      <c r="B15" s="267" t="inlineStr">
        <is>
          <t>Cézar Hiraki Velázquez</t>
        </is>
      </c>
      <c r="C15" s="267" t="inlineStr">
        <is>
          <t>PROFARMA / D1000 — Cadastro de Clientes</t>
        </is>
      </c>
      <c r="D15" s="267" t="inlineStr">
        <is>
          <t>Tech Lead / DevOps / Arquiteto</t>
        </is>
      </c>
      <c r="E15" s="267" t="inlineStr">
        <is>
          <t>Arquiteto de Software</t>
        </is>
      </c>
      <c r="F15" s="267" t="inlineStr">
        <is>
          <t>Abraão Oliveira</t>
        </is>
      </c>
      <c r="G15" s="268" t="n"/>
      <c r="H15" s="268" t="n"/>
      <c r="I15" s="109" t="n"/>
      <c r="J15" s="268" t="n"/>
    </row>
    <row r="16">
      <c r="A16" s="267" t="inlineStr">
        <is>
          <t>Não</t>
        </is>
      </c>
      <c r="B16" s="267" t="inlineStr">
        <is>
          <t>Mateus Veloso</t>
        </is>
      </c>
      <c r="C16" s="267" t="inlineStr">
        <is>
          <t>PROFARMA / D1000 — Cadastro de Clientes</t>
        </is>
      </c>
      <c r="D16" s="267" t="inlineStr">
        <is>
          <t>Dev Backend</t>
        </is>
      </c>
      <c r="E16" s="267" t="inlineStr">
        <is>
          <t>Desenvolvedor</t>
        </is>
      </c>
      <c r="F16" s="267" t="inlineStr">
        <is>
          <t>Cézar Hiraki Velázquez</t>
        </is>
      </c>
      <c r="G16" s="268" t="n"/>
      <c r="H16" s="268" t="n"/>
      <c r="I16" s="109" t="n"/>
      <c r="J16" s="268" t="n"/>
    </row>
    <row r="17">
      <c r="A17" s="267" t="inlineStr">
        <is>
          <t>Não</t>
        </is>
      </c>
      <c r="B17" s="267" t="inlineStr">
        <is>
          <t>Raony Chagas</t>
        </is>
      </c>
      <c r="C17" s="267" t="inlineStr">
        <is>
          <t>PROFARMA / D1000 — Cadastro de Clientes</t>
        </is>
      </c>
      <c r="D17" s="267" t="inlineStr">
        <is>
          <t>Dev Backend</t>
        </is>
      </c>
      <c r="E17" s="267" t="inlineStr">
        <is>
          <t>Desenvolvedor Sênior</t>
        </is>
      </c>
      <c r="F17" s="267" t="inlineStr">
        <is>
          <t>Cézar Hiraki Velázquez</t>
        </is>
      </c>
      <c r="G17" s="268" t="n"/>
      <c r="H17" s="268" t="n"/>
      <c r="I17" s="109" t="n"/>
      <c r="J17" s="268" t="n"/>
    </row>
    <row r="18">
      <c r="A18" s="267" t="inlineStr">
        <is>
          <t>Não</t>
        </is>
      </c>
      <c r="B18" s="267" t="inlineStr">
        <is>
          <t>Lucas Batista</t>
        </is>
      </c>
      <c r="C18" s="267" t="inlineStr">
        <is>
          <t>PROFARMA / D1000 — Cadastro de Clientes</t>
        </is>
      </c>
      <c r="D18" s="267" t="inlineStr">
        <is>
          <t>Dev Backend</t>
        </is>
      </c>
      <c r="E18" s="267" t="inlineStr">
        <is>
          <t>Desenvolvedor</t>
        </is>
      </c>
      <c r="F18" s="267" t="inlineStr">
        <is>
          <t>Cézar Hiraki Velázquez</t>
        </is>
      </c>
      <c r="G18" s="268" t="n"/>
      <c r="H18" s="268" t="n"/>
      <c r="I18" s="109" t="n"/>
      <c r="J18" s="268" t="n"/>
    </row>
    <row r="19">
      <c r="A19" s="267" t="inlineStr">
        <is>
          <t>Não</t>
        </is>
      </c>
      <c r="B19" s="267" t="inlineStr">
        <is>
          <t>Caroline Sousa</t>
        </is>
      </c>
      <c r="C19" s="267" t="inlineStr">
        <is>
          <t>PROFARMA / D1000 — Cadastro de Clientes</t>
        </is>
      </c>
      <c r="D19" s="267" t="inlineStr">
        <is>
          <t>QA / Testes Automatizados</t>
        </is>
      </c>
      <c r="E19" s="267" t="inlineStr">
        <is>
          <t>Analista de QA</t>
        </is>
      </c>
      <c r="F19" s="267" t="inlineStr">
        <is>
          <t>Abraão Oliveira</t>
        </is>
      </c>
      <c r="G19" s="268" t="n"/>
      <c r="H19" s="268" t="n"/>
      <c r="I19" s="109" t="n"/>
      <c r="J19" s="268" t="n"/>
    </row>
    <row r="20">
      <c r="A20" s="267" t="inlineStr">
        <is>
          <t>Sim</t>
        </is>
      </c>
      <c r="B20" s="267" t="inlineStr">
        <is>
          <t>Abraão Oliveira</t>
        </is>
      </c>
      <c r="C20" s="267" t="inlineStr">
        <is>
          <t>AASP — CNJ Integração</t>
        </is>
      </c>
      <c r="D20" s="267" t="inlineStr">
        <is>
          <t>Gerente de Projeto</t>
        </is>
      </c>
      <c r="E20" s="267" t="inlineStr">
        <is>
          <t>Gerente de Projetos</t>
        </is>
      </c>
      <c r="F20" s="267" t="inlineStr">
        <is>
          <t>Wilson Yamada</t>
        </is>
      </c>
      <c r="G20" s="268" t="n"/>
      <c r="H20" s="268" t="n"/>
      <c r="I20" s="109" t="n"/>
      <c r="J20" s="268" t="n"/>
    </row>
    <row r="21">
      <c r="A21" s="267" t="inlineStr">
        <is>
          <t>Sim</t>
        </is>
      </c>
      <c r="B21" s="267" t="inlineStr">
        <is>
          <t>Cézar Hiraki Velázquez</t>
        </is>
      </c>
      <c r="C21" s="267" t="inlineStr">
        <is>
          <t>AASP — CNJ Integração</t>
        </is>
      </c>
      <c r="D21" s="267" t="inlineStr">
        <is>
          <t>Tech Lead / DevOps / Arquiteto</t>
        </is>
      </c>
      <c r="E21" s="267" t="inlineStr">
        <is>
          <t>Arquiteto de Software</t>
        </is>
      </c>
      <c r="F21" s="267" t="inlineStr">
        <is>
          <t>Abraão Oliveira</t>
        </is>
      </c>
      <c r="G21" s="268" t="n"/>
      <c r="H21" s="268" t="n"/>
      <c r="I21" s="109" t="n"/>
      <c r="J21" s="268" t="n"/>
    </row>
    <row r="22">
      <c r="A22" s="267" t="inlineStr">
        <is>
          <t>Não</t>
        </is>
      </c>
      <c r="B22" s="267" t="inlineStr">
        <is>
          <t>Raony Chagas</t>
        </is>
      </c>
      <c r="C22" s="267" t="inlineStr">
        <is>
          <t>AASP — CNJ Integração</t>
        </is>
      </c>
      <c r="D22" s="267" t="inlineStr">
        <is>
          <t>Desenvolvedor Sênior (Principal)</t>
        </is>
      </c>
      <c r="E22" s="267" t="inlineStr">
        <is>
          <t>Desenvolvedor Sênior</t>
        </is>
      </c>
      <c r="F22" s="267" t="inlineStr">
        <is>
          <t>Cézar Hiraki Velázquez</t>
        </is>
      </c>
      <c r="G22" s="268" t="n"/>
      <c r="H22" s="268" t="n"/>
      <c r="I22" s="109" t="n"/>
      <c r="J22" s="268" t="n"/>
    </row>
    <row r="23">
      <c r="A23" s="267" t="inlineStr">
        <is>
          <t>Não</t>
        </is>
      </c>
      <c r="B23" s="267" t="inlineStr">
        <is>
          <t>Mateus Veloso</t>
        </is>
      </c>
      <c r="C23" s="267" t="inlineStr">
        <is>
          <t>AASP — CNJ Integração</t>
        </is>
      </c>
      <c r="D23" s="267" t="inlineStr">
        <is>
          <t>Desenvolvedor</t>
        </is>
      </c>
      <c r="E23" s="267" t="inlineStr">
        <is>
          <t>Desenvolvedor</t>
        </is>
      </c>
      <c r="F23" s="267" t="inlineStr">
        <is>
          <t>Cézar Hiraki Velázquez</t>
        </is>
      </c>
      <c r="G23" s="268" t="n"/>
      <c r="H23" s="268" t="n"/>
      <c r="I23" s="109" t="n"/>
      <c r="J23" s="268" t="n"/>
    </row>
    <row r="24">
      <c r="A24" s="267" t="inlineStr">
        <is>
          <t>Não</t>
        </is>
      </c>
      <c r="B24" s="267" t="inlineStr">
        <is>
          <t>Lucas Batista</t>
        </is>
      </c>
      <c r="C24" s="267" t="inlineStr">
        <is>
          <t>AASP — CNJ Integração</t>
        </is>
      </c>
      <c r="D24" s="267" t="inlineStr">
        <is>
          <t>Desenvolvedor</t>
        </is>
      </c>
      <c r="E24" s="267" t="inlineStr">
        <is>
          <t>Desenvolvedor</t>
        </is>
      </c>
      <c r="F24" s="267" t="inlineStr">
        <is>
          <t>Cézar Hiraki Velázquez</t>
        </is>
      </c>
      <c r="G24" s="268" t="n"/>
      <c r="H24" s="268" t="n"/>
      <c r="I24" s="109" t="n"/>
      <c r="J24" s="268" t="n"/>
    </row>
    <row r="25">
      <c r="A25" s="267" t="inlineStr">
        <is>
          <t>Não</t>
        </is>
      </c>
      <c r="B25" s="267" t="inlineStr">
        <is>
          <t>Caroline Sousa</t>
        </is>
      </c>
      <c r="C25" s="267" t="inlineStr">
        <is>
          <t>AASP — CNJ Integração</t>
        </is>
      </c>
      <c r="D25" s="267" t="inlineStr">
        <is>
          <t>Analista de QA</t>
        </is>
      </c>
      <c r="E25" s="267" t="inlineStr">
        <is>
          <t>Analista de QA</t>
        </is>
      </c>
      <c r="F25" s="267" t="inlineStr">
        <is>
          <t>Abraão Oliveira</t>
        </is>
      </c>
      <c r="G25" s="268" t="n"/>
      <c r="H25" s="268" t="n"/>
      <c r="I25" s="109" t="n"/>
      <c r="J25" s="268" t="n"/>
    </row>
    <row r="26">
      <c r="A26" s="267" t="inlineStr">
        <is>
          <t>Não</t>
        </is>
      </c>
      <c r="B26" s="267" t="inlineStr">
        <is>
          <t>Jonathan Barbosa</t>
        </is>
      </c>
      <c r="C26" s="267" t="inlineStr">
        <is>
          <t>AASP — CNJ Integração</t>
        </is>
      </c>
      <c r="D26" s="267" t="inlineStr">
        <is>
          <t>Auditor GQA (independente)</t>
        </is>
      </c>
      <c r="E26" s="267" t="inlineStr">
        <is>
          <t>Analista de Qualidade</t>
        </is>
      </c>
      <c r="F26" s="267" t="inlineStr">
        <is>
          <t>Abraão Oliveira</t>
        </is>
      </c>
      <c r="G26" s="268" t="n"/>
      <c r="H26" s="268" t="n"/>
      <c r="I26" s="109" t="n"/>
      <c r="J26" s="268" t="n"/>
    </row>
    <row r="27">
      <c r="A27" s="267" t="n"/>
      <c r="B27" s="267" t="n"/>
      <c r="C27" s="267" t="n"/>
      <c r="D27" s="267" t="n"/>
      <c r="E27" s="267" t="n"/>
      <c r="F27" s="267" t="n"/>
      <c r="G27" s="268" t="n"/>
      <c r="H27" s="268" t="n"/>
      <c r="I27" s="109" t="n"/>
      <c r="J27" s="268" t="n"/>
    </row>
    <row r="28">
      <c r="A28" s="267" t="n"/>
      <c r="B28" s="267" t="n"/>
      <c r="C28" s="267" t="n"/>
      <c r="D28" s="267" t="n"/>
      <c r="E28" s="267" t="n"/>
      <c r="F28" s="267" t="n"/>
      <c r="G28" s="268" t="n"/>
      <c r="H28" s="268" t="n"/>
      <c r="I28" s="109" t="n"/>
      <c r="J28" s="268" t="n"/>
    </row>
    <row r="29">
      <c r="A29" s="267" t="n"/>
      <c r="B29" s="267" t="n"/>
      <c r="C29" s="267" t="n"/>
      <c r="D29" s="267" t="n"/>
      <c r="E29" s="267" t="n"/>
      <c r="F29" s="267" t="n"/>
      <c r="G29" s="268" t="n"/>
      <c r="H29" s="268" t="n"/>
      <c r="I29" s="109" t="n"/>
      <c r="J29" s="268" t="n"/>
    </row>
    <row r="30">
      <c r="A30" s="267" t="n"/>
      <c r="B30" s="267" t="n"/>
      <c r="C30" s="267" t="n"/>
      <c r="D30" s="267" t="n"/>
      <c r="E30" s="267" t="n"/>
      <c r="F30" s="267" t="n"/>
      <c r="G30" s="268" t="n"/>
      <c r="H30" s="268" t="n"/>
      <c r="I30" s="109" t="n"/>
      <c r="J30" s="268" t="n"/>
    </row>
    <row r="31">
      <c r="A31" s="267" t="n"/>
      <c r="B31" s="267" t="n"/>
      <c r="C31" s="267" t="n"/>
      <c r="D31" s="267" t="n"/>
      <c r="E31" s="267" t="n"/>
      <c r="F31" s="267" t="n"/>
      <c r="G31" s="268" t="n"/>
      <c r="H31" s="268" t="n"/>
      <c r="I31" s="109" t="n"/>
      <c r="J31" s="268" t="n"/>
    </row>
    <row r="32">
      <c r="A32" s="267" t="n"/>
      <c r="B32" s="267" t="n"/>
      <c r="C32" s="267" t="n"/>
      <c r="D32" s="267" t="n"/>
      <c r="E32" s="267" t="n"/>
      <c r="F32" s="267" t="n"/>
      <c r="G32" s="268" t="n"/>
      <c r="H32" s="268" t="n"/>
      <c r="I32" s="109" t="n"/>
      <c r="J32" s="268" t="n"/>
    </row>
    <row r="33">
      <c r="A33" s="267" t="n"/>
      <c r="B33" s="267" t="n"/>
      <c r="C33" s="267" t="n"/>
      <c r="D33" s="267" t="n"/>
      <c r="E33" s="267" t="n"/>
      <c r="F33" s="267" t="n"/>
      <c r="G33" s="268" t="n"/>
      <c r="H33" s="268" t="n"/>
      <c r="I33" s="109" t="n"/>
      <c r="J33" s="268" t="n"/>
    </row>
    <row r="34">
      <c r="A34" s="267" t="n"/>
      <c r="B34" s="267" t="n"/>
      <c r="C34" s="267" t="n"/>
      <c r="D34" s="267" t="n"/>
      <c r="E34" s="267" t="n"/>
      <c r="F34" s="267" t="n"/>
      <c r="G34" s="268" t="n"/>
      <c r="H34" s="268" t="n"/>
      <c r="I34" s="109" t="n"/>
      <c r="J34" s="268" t="n"/>
    </row>
    <row r="35">
      <c r="A35" s="267" t="n"/>
      <c r="B35" s="267" t="n"/>
      <c r="C35" s="267" t="n"/>
      <c r="D35" s="267" t="n"/>
      <c r="E35" s="267" t="n"/>
      <c r="F35" s="267" t="n"/>
      <c r="G35" s="268" t="n"/>
      <c r="H35" s="268" t="n"/>
      <c r="I35" s="109" t="n"/>
      <c r="J35" s="268" t="n"/>
    </row>
    <row r="36">
      <c r="A36" s="267" t="n"/>
      <c r="B36" s="267" t="n"/>
      <c r="C36" s="267" t="n"/>
      <c r="D36" s="267" t="n"/>
      <c r="E36" s="267" t="n"/>
      <c r="F36" s="267" t="n"/>
      <c r="G36" s="268" t="n"/>
      <c r="H36" s="268" t="n"/>
      <c r="I36" s="109" t="n"/>
      <c r="J36" s="268" t="n"/>
    </row>
    <row r="37">
      <c r="A37" s="267" t="n"/>
      <c r="B37" s="267" t="n"/>
      <c r="C37" s="267" t="n"/>
      <c r="D37" s="267" t="n"/>
      <c r="E37" s="267" t="n"/>
      <c r="F37" s="267" t="n"/>
      <c r="G37" s="268" t="n"/>
      <c r="H37" s="268" t="n"/>
      <c r="I37" s="109" t="n"/>
      <c r="J37" s="268" t="n"/>
    </row>
    <row r="38">
      <c r="A38" s="267" t="n"/>
      <c r="B38" s="267" t="n"/>
      <c r="C38" s="272" t="n"/>
      <c r="D38" s="118" t="n"/>
      <c r="E38" s="118" t="n"/>
      <c r="F38" s="118" t="n"/>
      <c r="G38" s="268" t="n"/>
      <c r="H38" s="268" t="n"/>
      <c r="I38" s="109" t="n"/>
      <c r="J38" s="268" t="n"/>
    </row>
    <row r="39">
      <c r="A39" s="267" t="n"/>
      <c r="B39" s="267" t="n"/>
      <c r="C39" s="272" t="n"/>
      <c r="D39" s="118" t="n"/>
      <c r="E39" s="118" t="n"/>
      <c r="F39" s="118" t="n"/>
      <c r="G39" s="268" t="n"/>
      <c r="H39" s="268" t="n"/>
      <c r="I39" s="109" t="n"/>
      <c r="J39" s="268" t="n"/>
    </row>
    <row r="40">
      <c r="A40" s="267" t="n"/>
      <c r="B40" s="267" t="n"/>
      <c r="C40" s="272" t="n"/>
      <c r="D40" s="118" t="n"/>
      <c r="E40" s="118" t="n"/>
      <c r="F40" s="118" t="n"/>
      <c r="G40" s="268" t="n"/>
      <c r="H40" s="268" t="n"/>
      <c r="I40" s="109" t="n"/>
      <c r="J40" s="268" t="n"/>
    </row>
    <row r="41">
      <c r="A41" s="267" t="n"/>
      <c r="B41" s="267" t="n"/>
      <c r="C41" s="272" t="n"/>
      <c r="D41" s="118" t="n"/>
      <c r="E41" s="118" t="n"/>
      <c r="F41" s="118" t="n"/>
      <c r="G41" s="268" t="n"/>
      <c r="H41" s="268" t="n"/>
      <c r="I41" s="109" t="n"/>
      <c r="J41" s="268" t="n"/>
    </row>
    <row r="42">
      <c r="A42" s="267" t="n"/>
      <c r="B42" s="267" t="n"/>
      <c r="C42" s="272" t="n"/>
      <c r="D42" s="118" t="n"/>
      <c r="E42" s="118" t="n"/>
      <c r="F42" s="118" t="n"/>
      <c r="G42" s="268" t="n"/>
      <c r="H42" s="268" t="n"/>
      <c r="I42" s="109" t="n"/>
      <c r="J42" s="268" t="n"/>
    </row>
    <row r="43">
      <c r="A43" s="267" t="n"/>
      <c r="B43" s="267" t="n"/>
      <c r="C43" s="272" t="n"/>
      <c r="D43" s="118" t="n"/>
      <c r="E43" s="118" t="n"/>
      <c r="F43" s="118" t="n"/>
      <c r="G43" s="268" t="n"/>
      <c r="H43" s="268" t="n"/>
      <c r="I43" s="109" t="n"/>
      <c r="J43" s="268" t="n"/>
    </row>
    <row r="44">
      <c r="A44" s="267" t="n"/>
      <c r="B44" s="267" t="n"/>
      <c r="C44" s="272" t="n"/>
      <c r="D44" s="118" t="n"/>
      <c r="E44" s="118" t="n"/>
      <c r="F44" s="118" t="n"/>
      <c r="G44" s="268" t="n"/>
      <c r="H44" s="268" t="n"/>
      <c r="I44" s="109" t="n"/>
      <c r="J44" s="268" t="n"/>
    </row>
    <row r="45">
      <c r="A45" s="267" t="n"/>
      <c r="B45" s="267" t="n"/>
      <c r="C45" s="272" t="n"/>
      <c r="D45" s="118" t="n"/>
      <c r="E45" s="118" t="n"/>
      <c r="F45" s="118" t="n"/>
      <c r="G45" s="268" t="n"/>
      <c r="H45" s="268" t="n"/>
      <c r="I45" s="109" t="n"/>
      <c r="J45" s="268" t="n"/>
    </row>
    <row r="46">
      <c r="A46" s="267" t="n"/>
      <c r="B46" s="267" t="n"/>
      <c r="C46" s="272" t="n"/>
      <c r="D46" s="118" t="n"/>
      <c r="E46" s="118" t="n"/>
      <c r="F46" s="118" t="n"/>
      <c r="G46" s="268" t="n"/>
      <c r="H46" s="268" t="n"/>
      <c r="I46" s="109" t="n"/>
      <c r="J46" s="268" t="n"/>
    </row>
    <row r="47">
      <c r="A47" s="267" t="n"/>
      <c r="B47" s="267" t="n"/>
      <c r="C47" s="272" t="n"/>
      <c r="D47" s="118" t="n"/>
      <c r="E47" s="118" t="n"/>
      <c r="F47" s="118" t="n"/>
      <c r="G47" s="268" t="n"/>
      <c r="H47" s="268" t="n"/>
      <c r="I47" s="109" t="n"/>
      <c r="J47" s="268" t="n"/>
    </row>
    <row r="48">
      <c r="A48" s="267" t="n"/>
      <c r="B48" s="267" t="n"/>
      <c r="C48" s="272" t="n"/>
      <c r="D48" s="118" t="n"/>
      <c r="E48" s="118" t="n"/>
      <c r="F48" s="118" t="n"/>
      <c r="G48" s="268" t="n"/>
      <c r="H48" s="268" t="n"/>
      <c r="I48" s="109" t="n"/>
      <c r="J48" s="268" t="n"/>
    </row>
    <row r="49">
      <c r="A49" s="267" t="n"/>
      <c r="B49" s="267" t="n"/>
      <c r="C49" s="267" t="n"/>
      <c r="D49" s="267" t="n"/>
      <c r="E49" s="267" t="n"/>
      <c r="F49" s="267" t="n"/>
      <c r="G49" s="268" t="n"/>
      <c r="H49" s="268" t="n"/>
      <c r="I49" s="109" t="n"/>
      <c r="J49" s="268" t="n"/>
    </row>
    <row r="50">
      <c r="A50" s="267" t="n"/>
      <c r="B50" s="267" t="n"/>
      <c r="C50" s="267" t="n"/>
      <c r="D50" s="267" t="n"/>
      <c r="E50" s="267" t="n"/>
      <c r="F50" s="267" t="n"/>
      <c r="G50" s="268" t="n"/>
      <c r="H50" s="268" t="n"/>
      <c r="I50" s="109" t="n"/>
      <c r="J50" s="268" t="n"/>
    </row>
    <row r="51">
      <c r="A51" s="267" t="n"/>
      <c r="B51" s="267" t="n"/>
      <c r="C51" s="267" t="n"/>
      <c r="D51" s="267" t="n"/>
      <c r="E51" s="267" t="n"/>
      <c r="F51" s="267" t="n"/>
      <c r="G51" s="268" t="n"/>
      <c r="H51" s="268" t="n"/>
      <c r="I51" s="109" t="n"/>
      <c r="J51" s="268" t="n"/>
    </row>
    <row r="52">
      <c r="A52" s="267" t="n"/>
      <c r="B52" s="267" t="n"/>
      <c r="C52" s="267" t="n"/>
      <c r="D52" s="267" t="n"/>
      <c r="E52" s="267" t="n"/>
      <c r="F52" s="267" t="n"/>
      <c r="G52" s="268" t="n"/>
      <c r="H52" s="268" t="n"/>
      <c r="I52" s="109" t="n"/>
      <c r="J52" s="268" t="n"/>
    </row>
    <row r="53">
      <c r="A53" s="267" t="n"/>
      <c r="B53" s="267" t="n"/>
      <c r="C53" s="267" t="n"/>
      <c r="D53" s="267" t="n"/>
      <c r="E53" s="267" t="n"/>
      <c r="F53" s="267" t="n"/>
      <c r="G53" s="268" t="n"/>
      <c r="H53" s="268" t="n"/>
      <c r="I53" s="109" t="n"/>
      <c r="J53" s="268" t="n"/>
    </row>
    <row r="54">
      <c r="A54" s="267" t="n"/>
      <c r="B54" s="267" t="n"/>
      <c r="C54" s="267" t="n"/>
      <c r="D54" s="267" t="n"/>
      <c r="E54" s="267" t="n"/>
      <c r="F54" s="267" t="n"/>
      <c r="G54" s="268" t="n"/>
      <c r="H54" s="268" t="n"/>
      <c r="I54" s="109" t="n"/>
      <c r="J54" s="268" t="n"/>
    </row>
    <row r="55">
      <c r="A55" s="267" t="n"/>
      <c r="B55" s="267" t="n"/>
      <c r="C55" s="267" t="n"/>
      <c r="D55" s="267" t="n"/>
      <c r="E55" s="267" t="n"/>
      <c r="F55" s="267" t="n"/>
      <c r="G55" s="268" t="n"/>
      <c r="H55" s="268" t="n"/>
      <c r="I55" s="109" t="n"/>
      <c r="J55" s="268" t="n"/>
    </row>
    <row r="56">
      <c r="A56" s="267" t="n"/>
      <c r="B56" s="267" t="n"/>
      <c r="C56" s="267" t="n"/>
      <c r="D56" s="267" t="n"/>
      <c r="E56" s="267" t="n"/>
      <c r="F56" s="267" t="n"/>
      <c r="G56" s="268" t="n"/>
      <c r="H56" s="268" t="n"/>
      <c r="I56" s="109" t="n"/>
      <c r="J56" s="268" t="n"/>
    </row>
    <row r="57">
      <c r="A57" s="267" t="n"/>
      <c r="B57" s="267" t="n"/>
      <c r="C57" s="267" t="n"/>
      <c r="D57" s="267" t="n"/>
      <c r="E57" s="267" t="n"/>
      <c r="F57" s="267" t="n"/>
      <c r="G57" s="268" t="n"/>
      <c r="H57" s="268" t="n"/>
      <c r="I57" s="109" t="n"/>
      <c r="J57" s="268" t="n"/>
    </row>
    <row r="58">
      <c r="A58" s="267" t="n"/>
      <c r="B58" s="267" t="n"/>
      <c r="C58" s="267" t="n"/>
      <c r="D58" s="267" t="n"/>
      <c r="E58" s="267" t="n"/>
      <c r="F58" s="267" t="n"/>
      <c r="G58" s="268" t="n"/>
      <c r="H58" s="268" t="n"/>
      <c r="I58" s="109" t="n"/>
      <c r="J58" s="268" t="n"/>
    </row>
    <row r="59">
      <c r="A59" s="267" t="n"/>
      <c r="B59" s="267" t="n"/>
      <c r="C59" s="267" t="n"/>
      <c r="D59" s="267" t="n"/>
      <c r="E59" s="267" t="n"/>
      <c r="F59" s="267" t="n"/>
      <c r="G59" s="268" t="n"/>
      <c r="H59" s="268" t="n"/>
      <c r="I59" s="109" t="n"/>
      <c r="J59" s="268" t="n"/>
    </row>
    <row r="60">
      <c r="A60" s="267" t="n"/>
      <c r="B60" s="267" t="n"/>
      <c r="C60" s="267" t="n"/>
      <c r="D60" s="267" t="n"/>
      <c r="E60" s="267" t="n"/>
      <c r="F60" s="267" t="n"/>
      <c r="G60" s="268" t="n"/>
      <c r="H60" s="268" t="n"/>
      <c r="I60" s="109" t="n"/>
      <c r="J60" s="268" t="n"/>
    </row>
    <row r="61">
      <c r="A61" s="267" t="n"/>
      <c r="B61" s="267" t="n"/>
      <c r="C61" s="267" t="n"/>
      <c r="D61" s="267" t="n"/>
      <c r="E61" s="267" t="n"/>
      <c r="F61" s="267" t="n"/>
      <c r="G61" s="268" t="n"/>
      <c r="H61" s="268" t="n"/>
      <c r="I61" s="109" t="n"/>
      <c r="J61" s="268" t="n"/>
    </row>
    <row r="62">
      <c r="A62" s="267" t="n"/>
      <c r="B62" s="267" t="n"/>
      <c r="C62" s="267" t="n"/>
      <c r="D62" s="267" t="n"/>
      <c r="E62" s="267" t="n"/>
      <c r="F62" s="267" t="n"/>
      <c r="G62" s="268" t="n"/>
      <c r="H62" s="268" t="n"/>
      <c r="I62" s="109" t="n"/>
      <c r="J62" s="268" t="n"/>
    </row>
    <row r="63">
      <c r="A63" s="267" t="n"/>
      <c r="B63" s="267" t="n"/>
      <c r="C63" s="267" t="n"/>
      <c r="D63" s="267" t="n"/>
      <c r="E63" s="267" t="n"/>
      <c r="F63" s="267" t="n"/>
      <c r="G63" s="268" t="n"/>
      <c r="H63" s="268" t="n"/>
      <c r="I63" s="109" t="n"/>
      <c r="J63" s="268" t="n"/>
    </row>
    <row r="64">
      <c r="A64" s="267" t="n"/>
      <c r="B64" s="267" t="n"/>
      <c r="C64" s="267" t="n"/>
      <c r="D64" s="267" t="n"/>
      <c r="E64" s="267" t="n"/>
      <c r="F64" s="267" t="n"/>
      <c r="G64" s="268" t="n"/>
      <c r="H64" s="268" t="n"/>
      <c r="I64" s="109" t="n"/>
      <c r="J64" s="268" t="n"/>
    </row>
    <row r="65">
      <c r="A65" s="267" t="n"/>
      <c r="B65" s="267" t="n"/>
      <c r="C65" s="267" t="n"/>
      <c r="D65" s="267" t="n"/>
      <c r="E65" s="267" t="n"/>
      <c r="F65" s="267" t="n"/>
      <c r="G65" s="268" t="n"/>
      <c r="H65" s="268" t="n"/>
      <c r="I65" s="109" t="n"/>
      <c r="J65" s="268" t="n"/>
    </row>
    <row r="66">
      <c r="A66" s="267" t="n"/>
      <c r="B66" s="267" t="n"/>
      <c r="C66" s="267" t="n"/>
      <c r="D66" s="267" t="n"/>
      <c r="E66" s="267" t="n"/>
      <c r="F66" s="267" t="n"/>
      <c r="G66" s="268" t="n"/>
      <c r="H66" s="268" t="n"/>
      <c r="I66" s="109" t="n"/>
      <c r="J66" s="268" t="n"/>
    </row>
    <row r="67">
      <c r="A67" s="267" t="n"/>
      <c r="B67" s="267" t="n"/>
      <c r="C67" s="267" t="n"/>
      <c r="D67" s="267" t="n"/>
      <c r="E67" s="267" t="n"/>
      <c r="F67" s="267" t="n"/>
      <c r="G67" s="268" t="n"/>
      <c r="H67" s="268" t="n"/>
      <c r="I67" s="109" t="n"/>
      <c r="J67" s="268" t="n"/>
    </row>
    <row r="68">
      <c r="A68" s="267" t="n"/>
      <c r="B68" s="267" t="n"/>
      <c r="C68" s="267" t="n"/>
      <c r="D68" s="267" t="n"/>
      <c r="E68" s="267" t="n"/>
      <c r="F68" s="267" t="n"/>
      <c r="G68" s="268" t="n"/>
      <c r="H68" s="268" t="n"/>
      <c r="I68" s="109" t="n"/>
      <c r="J68" s="268" t="n"/>
    </row>
    <row r="69">
      <c r="A69" s="267" t="n"/>
      <c r="B69" s="267" t="n"/>
      <c r="C69" s="267" t="n"/>
      <c r="D69" s="267" t="n"/>
      <c r="E69" s="267" t="n"/>
      <c r="F69" s="267" t="n"/>
      <c r="G69" s="268" t="n"/>
      <c r="H69" s="268" t="n"/>
      <c r="I69" s="109" t="n"/>
      <c r="J69" s="268" t="n"/>
    </row>
    <row r="70">
      <c r="A70" s="267" t="n"/>
      <c r="B70" s="267" t="n"/>
      <c r="C70" s="267" t="n"/>
      <c r="D70" s="267" t="n"/>
      <c r="E70" s="267" t="n"/>
      <c r="F70" s="267" t="n"/>
      <c r="G70" s="268" t="n"/>
      <c r="H70" s="268" t="n"/>
      <c r="I70" s="109" t="n"/>
      <c r="J70" s="268" t="n"/>
    </row>
    <row r="71">
      <c r="A71" s="267" t="n"/>
      <c r="B71" s="267" t="n"/>
      <c r="C71" s="267" t="n"/>
      <c r="D71" s="267" t="n"/>
      <c r="E71" s="267" t="n"/>
      <c r="F71" s="267" t="n"/>
      <c r="G71" s="268" t="n"/>
      <c r="H71" s="268" t="n"/>
      <c r="I71" s="109" t="n"/>
      <c r="J71" s="268" t="n"/>
    </row>
    <row r="72">
      <c r="A72" s="267" t="n"/>
      <c r="B72" s="267" t="n"/>
      <c r="C72" s="267" t="n"/>
      <c r="D72" s="267" t="n"/>
      <c r="E72" s="267" t="n"/>
      <c r="F72" s="267" t="n"/>
      <c r="G72" s="268" t="n"/>
      <c r="H72" s="268" t="n"/>
      <c r="I72" s="109" t="n"/>
      <c r="J72" s="268" t="n"/>
    </row>
    <row r="73">
      <c r="A73" s="267" t="n"/>
      <c r="B73" s="267" t="n"/>
      <c r="C73" s="267" t="n"/>
      <c r="D73" s="267" t="n"/>
      <c r="E73" s="267" t="n"/>
      <c r="F73" s="267" t="n"/>
      <c r="G73" s="268" t="n"/>
      <c r="H73" s="268" t="n"/>
      <c r="I73" s="109" t="n"/>
      <c r="J73" s="268" t="n"/>
    </row>
    <row r="74">
      <c r="A74" s="267" t="n"/>
      <c r="B74" s="267" t="n"/>
      <c r="C74" s="267" t="n"/>
      <c r="D74" s="267" t="n"/>
      <c r="E74" s="267" t="n"/>
      <c r="F74" s="267" t="n"/>
      <c r="G74" s="268" t="n"/>
      <c r="H74" s="268" t="n"/>
      <c r="I74" s="109" t="n"/>
      <c r="J74" s="268" t="n"/>
    </row>
    <row r="75">
      <c r="A75" s="267" t="n"/>
      <c r="B75" s="267" t="n"/>
      <c r="C75" s="267" t="n"/>
      <c r="D75" s="267" t="n"/>
      <c r="E75" s="267" t="n"/>
      <c r="F75" s="267" t="n"/>
      <c r="G75" s="268" t="n"/>
      <c r="H75" s="268" t="n"/>
      <c r="I75" s="109" t="n"/>
      <c r="J75" s="268" t="n"/>
    </row>
    <row r="76">
      <c r="A76" s="267" t="n"/>
      <c r="B76" s="267" t="n"/>
      <c r="C76" s="267" t="n"/>
      <c r="D76" s="267" t="n"/>
      <c r="E76" s="267" t="n"/>
      <c r="F76" s="267" t="n"/>
      <c r="G76" s="268" t="n"/>
      <c r="H76" s="268" t="n"/>
      <c r="I76" s="109" t="n"/>
      <c r="J76" s="268" t="n"/>
    </row>
    <row r="77">
      <c r="A77" s="267" t="n"/>
      <c r="B77" s="267" t="n"/>
      <c r="C77" s="267" t="n"/>
      <c r="D77" s="267" t="n"/>
      <c r="E77" s="267" t="n"/>
      <c r="F77" s="267" t="n"/>
      <c r="G77" s="268" t="n"/>
      <c r="H77" s="268" t="n"/>
      <c r="I77" s="109" t="n"/>
      <c r="J77" s="268" t="n"/>
    </row>
    <row r="78">
      <c r="A78" s="267" t="n"/>
      <c r="B78" s="267" t="n"/>
      <c r="C78" s="267" t="n"/>
      <c r="D78" s="267" t="n"/>
      <c r="E78" s="267" t="n"/>
      <c r="F78" s="267" t="n"/>
      <c r="G78" s="268" t="n"/>
      <c r="H78" s="268" t="n"/>
      <c r="I78" s="109" t="n"/>
      <c r="J78" s="268" t="n"/>
    </row>
    <row r="79">
      <c r="A79" s="267" t="n"/>
      <c r="B79" s="267" t="n"/>
      <c r="C79" s="267" t="n"/>
      <c r="D79" s="267" t="n"/>
      <c r="E79" s="267" t="n"/>
      <c r="F79" s="267" t="n"/>
      <c r="G79" s="268" t="n"/>
      <c r="H79" s="268" t="n"/>
      <c r="I79" s="109" t="n"/>
      <c r="J79" s="268" t="n"/>
    </row>
    <row r="80">
      <c r="A80" s="267" t="n"/>
      <c r="B80" s="267" t="n"/>
      <c r="C80" s="267" t="n"/>
      <c r="D80" s="267" t="n"/>
      <c r="E80" s="267" t="n"/>
      <c r="F80" s="267" t="n"/>
      <c r="G80" s="268" t="n"/>
      <c r="H80" s="268" t="n"/>
      <c r="I80" s="109" t="n"/>
      <c r="J80" s="268" t="n"/>
    </row>
    <row r="81">
      <c r="A81" s="267" t="n"/>
      <c r="B81" s="267" t="n"/>
      <c r="C81" s="267" t="n"/>
      <c r="D81" s="267" t="n"/>
      <c r="E81" s="267" t="n"/>
      <c r="F81" s="267" t="n"/>
      <c r="G81" s="268" t="n"/>
      <c r="H81" s="268" t="n"/>
      <c r="I81" s="109" t="n"/>
      <c r="J81" s="268" t="n"/>
    </row>
    <row r="82">
      <c r="A82" s="267" t="n"/>
      <c r="B82" s="267" t="n"/>
      <c r="C82" s="267" t="n"/>
      <c r="D82" s="267" t="n"/>
      <c r="E82" s="267" t="n"/>
      <c r="F82" s="267" t="n"/>
      <c r="G82" s="268" t="n"/>
      <c r="H82" s="268" t="n"/>
      <c r="I82" s="109" t="n"/>
      <c r="J82" s="268" t="n"/>
    </row>
    <row r="83">
      <c r="A83" s="267" t="n"/>
      <c r="B83" s="267" t="n"/>
      <c r="C83" s="267" t="n"/>
      <c r="D83" s="267" t="n"/>
      <c r="E83" s="267" t="n"/>
      <c r="F83" s="267" t="n"/>
      <c r="G83" s="268" t="n"/>
      <c r="H83" s="268" t="n"/>
      <c r="I83" s="109" t="n"/>
      <c r="J83" s="268" t="n"/>
    </row>
    <row r="84">
      <c r="A84" s="267" t="n"/>
      <c r="B84" s="267" t="n"/>
      <c r="C84" s="267" t="n"/>
      <c r="D84" s="267" t="n"/>
      <c r="E84" s="267" t="n"/>
      <c r="F84" s="267" t="n"/>
      <c r="G84" s="268" t="n"/>
      <c r="H84" s="268" t="n"/>
      <c r="I84" s="109" t="n"/>
      <c r="J84" s="268" t="n"/>
    </row>
    <row r="85">
      <c r="A85" s="267" t="n"/>
      <c r="B85" s="267" t="n"/>
      <c r="C85" s="267" t="n"/>
      <c r="D85" s="267" t="n"/>
      <c r="E85" s="267" t="n"/>
      <c r="F85" s="267" t="n"/>
      <c r="G85" s="268" t="n"/>
      <c r="H85" s="268" t="n"/>
      <c r="I85" s="109" t="n"/>
      <c r="J85" s="268" t="n"/>
    </row>
    <row r="86">
      <c r="A86" s="267" t="n"/>
      <c r="B86" s="267" t="n"/>
      <c r="C86" s="267" t="n"/>
      <c r="D86" s="267" t="n"/>
      <c r="E86" s="267" t="n"/>
      <c r="F86" s="267" t="n"/>
      <c r="G86" s="268" t="n"/>
      <c r="H86" s="268" t="n"/>
      <c r="I86" s="109" t="n"/>
      <c r="J86" s="268" t="n"/>
    </row>
    <row r="87">
      <c r="A87" s="267" t="n"/>
      <c r="B87" s="267" t="n"/>
      <c r="C87" s="267" t="n"/>
      <c r="D87" s="267" t="n"/>
      <c r="E87" s="267" t="n"/>
      <c r="F87" s="267" t="n"/>
      <c r="G87" s="268" t="n"/>
      <c r="H87" s="268" t="n"/>
      <c r="I87" s="109" t="n"/>
      <c r="J87" s="268" t="n"/>
    </row>
    <row r="88">
      <c r="A88" s="267" t="n"/>
      <c r="B88" s="267" t="n"/>
      <c r="C88" s="267" t="n"/>
      <c r="D88" s="267" t="n"/>
      <c r="E88" s="267" t="n"/>
      <c r="F88" s="267" t="n"/>
      <c r="G88" s="268" t="n"/>
      <c r="H88" s="268" t="n"/>
      <c r="I88" s="109" t="n"/>
      <c r="J88" s="268" t="n"/>
    </row>
    <row r="89">
      <c r="A89" s="267" t="n"/>
      <c r="B89" s="267" t="n"/>
      <c r="C89" s="267" t="n"/>
      <c r="D89" s="267" t="n"/>
      <c r="E89" s="267" t="n"/>
      <c r="F89" s="267" t="n"/>
      <c r="G89" s="268" t="n"/>
      <c r="H89" s="268" t="n"/>
      <c r="I89" s="109" t="n"/>
      <c r="J89" s="268" t="n"/>
    </row>
    <row r="90">
      <c r="A90" s="267" t="n"/>
      <c r="B90" s="267" t="n"/>
      <c r="C90" s="267" t="n"/>
      <c r="D90" s="267" t="n"/>
      <c r="E90" s="267" t="n"/>
      <c r="F90" s="267" t="n"/>
      <c r="G90" s="268" t="n"/>
      <c r="H90" s="268" t="n"/>
      <c r="I90" s="109" t="n"/>
      <c r="J90" s="268" t="n"/>
    </row>
    <row r="91">
      <c r="A91" s="267" t="n"/>
      <c r="B91" s="267" t="n"/>
      <c r="C91" s="267" t="n"/>
      <c r="D91" s="267" t="n"/>
      <c r="E91" s="267" t="n"/>
      <c r="F91" s="267" t="n"/>
      <c r="G91" s="268" t="n"/>
      <c r="H91" s="268" t="n"/>
      <c r="I91" s="109" t="n"/>
      <c r="J91" s="268" t="n"/>
    </row>
    <row r="92">
      <c r="A92" s="267" t="n"/>
      <c r="B92" s="267" t="n"/>
      <c r="C92" s="267" t="n"/>
      <c r="D92" s="267" t="n"/>
      <c r="E92" s="267" t="n"/>
      <c r="F92" s="267" t="n"/>
      <c r="G92" s="268" t="n"/>
      <c r="H92" s="268" t="n"/>
      <c r="I92" s="109" t="n"/>
      <c r="J92" s="268" t="n"/>
    </row>
    <row r="93">
      <c r="A93" s="267" t="n"/>
      <c r="B93" s="267" t="n"/>
      <c r="C93" s="267" t="n"/>
      <c r="D93" s="267" t="n"/>
      <c r="E93" s="267" t="n"/>
      <c r="F93" s="267" t="n"/>
      <c r="G93" s="268" t="n"/>
      <c r="H93" s="268" t="n"/>
      <c r="I93" s="109" t="n"/>
      <c r="J93" s="268" t="n"/>
    </row>
    <row r="94">
      <c r="A94" s="267" t="n"/>
      <c r="B94" s="267" t="n"/>
      <c r="C94" s="267" t="n"/>
      <c r="D94" s="267" t="n"/>
      <c r="E94" s="267" t="n"/>
      <c r="F94" s="267" t="n"/>
      <c r="G94" s="268" t="n"/>
      <c r="H94" s="268" t="n"/>
      <c r="I94" s="109" t="n"/>
      <c r="J94" s="268" t="n"/>
    </row>
    <row r="95">
      <c r="A95" s="267" t="n"/>
      <c r="B95" s="267" t="n"/>
      <c r="C95" s="267" t="n"/>
      <c r="D95" s="267" t="n"/>
      <c r="E95" s="267" t="n"/>
      <c r="F95" s="267" t="n"/>
      <c r="G95" s="268" t="n"/>
      <c r="H95" s="268" t="n"/>
      <c r="I95" s="109" t="n"/>
      <c r="J95" s="268" t="n"/>
    </row>
    <row r="96">
      <c r="A96" s="267" t="n"/>
      <c r="B96" s="267" t="n"/>
      <c r="C96" s="267" t="n"/>
      <c r="D96" s="267" t="n"/>
      <c r="E96" s="267" t="n"/>
      <c r="F96" s="267" t="n"/>
      <c r="G96" s="268" t="n"/>
      <c r="H96" s="268" t="n"/>
      <c r="I96" s="109" t="n"/>
      <c r="J96" s="268" t="n"/>
    </row>
    <row r="97">
      <c r="A97" s="267" t="n"/>
      <c r="B97" s="267" t="n"/>
      <c r="C97" s="267" t="n"/>
      <c r="D97" s="267" t="n"/>
      <c r="E97" s="267" t="n"/>
      <c r="F97" s="267" t="n"/>
      <c r="G97" s="268" t="n"/>
      <c r="H97" s="268" t="n"/>
      <c r="I97" s="109" t="n"/>
      <c r="J97" s="268" t="n"/>
    </row>
    <row r="98">
      <c r="A98" s="267" t="n"/>
      <c r="B98" s="267" t="n"/>
      <c r="C98" s="267" t="n"/>
      <c r="D98" s="267" t="n"/>
      <c r="E98" s="267" t="n"/>
      <c r="F98" s="267" t="n"/>
      <c r="G98" s="268" t="n"/>
      <c r="H98" s="268" t="n"/>
      <c r="I98" s="109" t="n"/>
      <c r="J98" s="268" t="n"/>
    </row>
    <row r="99">
      <c r="A99" s="267" t="n"/>
      <c r="B99" s="267" t="n"/>
      <c r="C99" s="267" t="n"/>
      <c r="D99" s="267" t="n"/>
      <c r="E99" s="267" t="n"/>
      <c r="F99" s="267" t="n"/>
      <c r="G99" s="268" t="n"/>
      <c r="H99" s="268" t="n"/>
      <c r="I99" s="109" t="n"/>
      <c r="J99" s="268" t="n"/>
    </row>
    <row r="100">
      <c r="A100" s="267" t="n"/>
      <c r="B100" s="267" t="n"/>
      <c r="C100" s="267" t="n"/>
      <c r="D100" s="267" t="n"/>
      <c r="E100" s="267" t="n"/>
      <c r="F100" s="267" t="n"/>
      <c r="G100" s="268" t="n"/>
      <c r="H100" s="268" t="n"/>
      <c r="I100" s="109" t="n"/>
      <c r="J100" s="268" t="n"/>
    </row>
    <row r="101">
      <c r="A101" s="267" t="n"/>
      <c r="B101" s="267" t="n"/>
      <c r="C101" s="267" t="n"/>
      <c r="D101" s="267" t="n"/>
      <c r="E101" s="267" t="n"/>
      <c r="F101" s="267" t="n"/>
      <c r="G101" s="268" t="n"/>
      <c r="H101" s="268" t="n"/>
      <c r="I101" s="109" t="n"/>
      <c r="J101" s="268" t="n"/>
    </row>
    <row r="102">
      <c r="A102" s="267" t="n"/>
      <c r="B102" s="267" t="n"/>
      <c r="C102" s="267" t="n"/>
      <c r="D102" s="267" t="n"/>
      <c r="E102" s="267" t="n"/>
      <c r="F102" s="267" t="n"/>
      <c r="G102" s="268" t="n"/>
      <c r="H102" s="268" t="n"/>
      <c r="I102" s="109" t="n"/>
      <c r="J102" s="268" t="n"/>
    </row>
    <row r="103">
      <c r="A103" s="267" t="n"/>
      <c r="B103" s="267" t="n"/>
      <c r="C103" s="267" t="n"/>
      <c r="D103" s="267" t="n"/>
      <c r="E103" s="267" t="n"/>
      <c r="F103" s="267" t="n"/>
      <c r="G103" s="268" t="n"/>
      <c r="H103" s="268" t="n"/>
      <c r="I103" s="109" t="n"/>
      <c r="J103" s="268" t="n"/>
    </row>
    <row r="104">
      <c r="A104" s="267" t="n"/>
      <c r="B104" s="267" t="n"/>
      <c r="C104" s="267" t="n"/>
      <c r="D104" s="267" t="n"/>
      <c r="E104" s="267" t="n"/>
      <c r="F104" s="267" t="n"/>
      <c r="G104" s="268" t="n"/>
      <c r="H104" s="268" t="n"/>
      <c r="I104" s="109" t="n"/>
      <c r="J104" s="268" t="n"/>
    </row>
    <row r="105">
      <c r="A105" s="267" t="n"/>
      <c r="B105" s="267" t="n"/>
      <c r="C105" s="267" t="n"/>
      <c r="D105" s="267" t="n"/>
      <c r="E105" s="267" t="n"/>
      <c r="F105" s="267" t="n"/>
      <c r="G105" s="268" t="n"/>
      <c r="H105" s="268" t="n"/>
      <c r="I105" s="109" t="n"/>
      <c r="J105" s="268" t="n"/>
    </row>
    <row r="106">
      <c r="A106" s="267" t="n"/>
      <c r="B106" s="267" t="n"/>
      <c r="C106" s="267" t="n"/>
      <c r="D106" s="267" t="n"/>
      <c r="E106" s="267" t="n"/>
      <c r="F106" s="267" t="n"/>
      <c r="G106" s="268" t="n"/>
      <c r="H106" s="268" t="n"/>
      <c r="I106" s="109" t="n"/>
      <c r="J106" s="268" t="n"/>
    </row>
    <row r="107">
      <c r="A107" s="267" t="n"/>
      <c r="B107" s="267" t="n"/>
      <c r="C107" s="267" t="n"/>
      <c r="D107" s="267" t="n"/>
      <c r="E107" s="267" t="n"/>
      <c r="F107" s="267" t="n"/>
      <c r="G107" s="268" t="n"/>
      <c r="H107" s="268" t="n"/>
      <c r="I107" s="109" t="n"/>
      <c r="J107" s="268" t="n"/>
    </row>
    <row r="108">
      <c r="A108" s="267" t="n"/>
      <c r="B108" s="267" t="n"/>
      <c r="C108" s="267" t="n"/>
      <c r="D108" s="267" t="n"/>
      <c r="E108" s="267" t="n"/>
      <c r="F108" s="267" t="n"/>
      <c r="G108" s="268" t="n"/>
      <c r="H108" s="268" t="n"/>
      <c r="I108" s="109" t="n"/>
      <c r="J108" s="268" t="n"/>
    </row>
    <row r="109">
      <c r="A109" s="267" t="n"/>
      <c r="B109" s="267" t="n"/>
      <c r="C109" s="267" t="n"/>
      <c r="D109" s="267" t="n"/>
      <c r="E109" s="267" t="n"/>
      <c r="F109" s="267" t="n"/>
      <c r="G109" s="268" t="n"/>
      <c r="H109" s="268" t="n"/>
      <c r="I109" s="109" t="n"/>
      <c r="J109" s="268" t="n"/>
    </row>
    <row r="110">
      <c r="A110" s="267" t="n"/>
      <c r="B110" s="267" t="n"/>
      <c r="C110" s="267" t="n"/>
      <c r="D110" s="267" t="n"/>
      <c r="E110" s="267" t="n"/>
      <c r="F110" s="267" t="n"/>
      <c r="G110" s="268" t="n"/>
      <c r="H110" s="268" t="n"/>
      <c r="I110" s="109" t="n"/>
      <c r="J110" s="268" t="n"/>
    </row>
    <row r="111">
      <c r="A111" s="267" t="n"/>
      <c r="B111" s="267" t="n"/>
      <c r="C111" s="267" t="n"/>
      <c r="D111" s="267" t="n"/>
      <c r="E111" s="267" t="n"/>
      <c r="F111" s="267" t="n"/>
      <c r="G111" s="268" t="n"/>
      <c r="H111" s="268" t="n"/>
      <c r="I111" s="109" t="n"/>
      <c r="J111" s="268" t="n"/>
    </row>
    <row r="112">
      <c r="A112" s="267" t="n"/>
      <c r="B112" s="267" t="n"/>
      <c r="C112" s="267" t="n"/>
      <c r="D112" s="267" t="n"/>
      <c r="E112" s="267" t="n"/>
      <c r="F112" s="267" t="n"/>
      <c r="G112" s="268" t="n"/>
      <c r="H112" s="268" t="n"/>
      <c r="I112" s="109" t="n"/>
      <c r="J112" s="268" t="n"/>
    </row>
    <row r="113">
      <c r="A113" s="267" t="n"/>
      <c r="B113" s="267" t="n"/>
      <c r="C113" s="267" t="n"/>
      <c r="D113" s="267" t="n"/>
      <c r="E113" s="267" t="n"/>
      <c r="F113" s="267" t="n"/>
      <c r="G113" s="268" t="n"/>
      <c r="H113" s="268" t="n"/>
      <c r="I113" s="109" t="n"/>
      <c r="J113" s="268" t="n"/>
    </row>
    <row r="114">
      <c r="A114" s="267" t="n"/>
      <c r="B114" s="267" t="n"/>
      <c r="C114" s="267" t="n"/>
      <c r="D114" s="267" t="n"/>
      <c r="E114" s="267" t="n"/>
      <c r="F114" s="267" t="n"/>
      <c r="G114" s="268" t="n"/>
      <c r="H114" s="268" t="n"/>
      <c r="I114" s="109" t="n"/>
      <c r="J114" s="268" t="n"/>
    </row>
    <row r="115">
      <c r="A115" s="267" t="n"/>
      <c r="B115" s="267" t="n"/>
      <c r="C115" s="267" t="n"/>
      <c r="D115" s="267" t="n"/>
      <c r="E115" s="267" t="n"/>
      <c r="F115" s="267" t="n"/>
      <c r="G115" s="268" t="n"/>
      <c r="H115" s="268" t="n"/>
      <c r="I115" s="109" t="n"/>
      <c r="J115" s="268" t="n"/>
    </row>
    <row r="116">
      <c r="A116" s="267" t="n"/>
      <c r="B116" s="267" t="n"/>
      <c r="C116" s="267" t="n"/>
      <c r="D116" s="267" t="n"/>
      <c r="E116" s="267" t="n"/>
      <c r="F116" s="267" t="n"/>
      <c r="G116" s="268" t="n"/>
      <c r="H116" s="268" t="n"/>
      <c r="I116" s="109" t="n"/>
      <c r="J116" s="268" t="n"/>
    </row>
    <row r="117">
      <c r="A117" s="267" t="n"/>
      <c r="B117" s="267" t="n"/>
      <c r="C117" s="267" t="n"/>
      <c r="D117" s="267" t="n"/>
      <c r="E117" s="267" t="n"/>
      <c r="F117" s="267" t="n"/>
      <c r="G117" s="268" t="n"/>
      <c r="H117" s="268" t="n"/>
      <c r="I117" s="109" t="n"/>
      <c r="J117" s="268" t="n"/>
    </row>
    <row r="118">
      <c r="A118" s="267" t="n"/>
      <c r="B118" s="267" t="n"/>
      <c r="C118" s="267" t="n"/>
      <c r="D118" s="267" t="n"/>
      <c r="E118" s="267" t="n"/>
      <c r="F118" s="267" t="n"/>
      <c r="G118" s="268" t="n"/>
      <c r="H118" s="268" t="n"/>
      <c r="I118" s="109" t="n"/>
      <c r="J118" s="268" t="n"/>
    </row>
    <row r="119">
      <c r="A119" s="267" t="n"/>
      <c r="B119" s="267" t="n"/>
      <c r="C119" s="267" t="n"/>
      <c r="D119" s="267" t="n"/>
      <c r="E119" s="267" t="n"/>
      <c r="F119" s="267" t="n"/>
      <c r="G119" s="268" t="n"/>
      <c r="H119" s="268" t="n"/>
      <c r="I119" s="109" t="n"/>
      <c r="J119" s="268" t="n"/>
    </row>
    <row r="120">
      <c r="A120" s="267" t="n"/>
      <c r="B120" s="267" t="n"/>
      <c r="C120" s="267" t="n"/>
      <c r="D120" s="267" t="n"/>
      <c r="E120" s="267" t="n"/>
      <c r="F120" s="267" t="n"/>
      <c r="G120" s="268" t="n"/>
      <c r="H120" s="268" t="n"/>
      <c r="I120" s="109" t="n"/>
      <c r="J120" s="268" t="n"/>
    </row>
    <row r="121">
      <c r="A121" s="267" t="n"/>
      <c r="B121" s="267" t="n"/>
      <c r="C121" s="267" t="n"/>
      <c r="D121" s="267" t="n"/>
      <c r="E121" s="267" t="n"/>
      <c r="F121" s="267" t="n"/>
      <c r="G121" s="268" t="n"/>
      <c r="H121" s="268" t="n"/>
      <c r="I121" s="109" t="n"/>
      <c r="J121" s="268" t="n"/>
    </row>
    <row r="122">
      <c r="A122" s="267" t="n"/>
      <c r="B122" s="267" t="n"/>
      <c r="C122" s="267" t="n"/>
      <c r="D122" s="267" t="n"/>
      <c r="E122" s="267" t="n"/>
      <c r="F122" s="267" t="n"/>
      <c r="G122" s="268" t="n"/>
      <c r="H122" s="268" t="n"/>
      <c r="I122" s="109" t="n"/>
      <c r="J122" s="268" t="n"/>
    </row>
    <row r="123">
      <c r="A123" s="267" t="n"/>
      <c r="B123" s="267" t="n"/>
      <c r="C123" s="267" t="n"/>
      <c r="D123" s="267" t="n"/>
      <c r="E123" s="267" t="n"/>
      <c r="F123" s="267" t="n"/>
      <c r="G123" s="268" t="n"/>
      <c r="H123" s="268" t="n"/>
      <c r="I123" s="109" t="n"/>
      <c r="J123" s="268" t="n"/>
    </row>
    <row r="124">
      <c r="A124" s="267" t="n"/>
      <c r="B124" s="267" t="n"/>
      <c r="C124" s="267" t="n"/>
      <c r="D124" s="267" t="n"/>
      <c r="E124" s="267" t="n"/>
      <c r="F124" s="267" t="n"/>
      <c r="G124" s="268" t="n"/>
      <c r="H124" s="268" t="n"/>
      <c r="I124" s="109" t="n"/>
      <c r="J124" s="268" t="n"/>
    </row>
    <row r="125">
      <c r="A125" s="267" t="n"/>
      <c r="B125" s="267" t="n"/>
      <c r="C125" s="267" t="n"/>
      <c r="D125" s="267" t="n"/>
      <c r="E125" s="267" t="n"/>
      <c r="F125" s="267" t="n"/>
      <c r="G125" s="268" t="n"/>
      <c r="H125" s="268" t="n"/>
      <c r="I125" s="109" t="n"/>
      <c r="J125" s="268" t="n"/>
    </row>
    <row r="126">
      <c r="A126" s="267" t="n"/>
      <c r="B126" s="267" t="n"/>
      <c r="C126" s="267" t="n"/>
      <c r="D126" s="267" t="n"/>
      <c r="E126" s="267" t="n"/>
      <c r="F126" s="267" t="n"/>
      <c r="G126" s="268" t="n"/>
      <c r="H126" s="268" t="n"/>
      <c r="I126" s="109" t="n"/>
      <c r="J126" s="268" t="n"/>
    </row>
    <row r="127">
      <c r="A127" s="267" t="n"/>
      <c r="B127" s="267" t="n"/>
      <c r="C127" s="267" t="n"/>
      <c r="D127" s="267" t="n"/>
      <c r="E127" s="267" t="n"/>
      <c r="F127" s="267" t="n"/>
      <c r="G127" s="268" t="n"/>
      <c r="H127" s="268" t="n"/>
      <c r="I127" s="109" t="n"/>
      <c r="J127" s="268" t="n"/>
    </row>
    <row r="128">
      <c r="A128" s="267" t="n"/>
      <c r="B128" s="267" t="n"/>
      <c r="C128" s="267" t="n"/>
      <c r="D128" s="267" t="n"/>
      <c r="E128" s="267" t="n"/>
      <c r="F128" s="267" t="n"/>
      <c r="G128" s="268" t="n"/>
      <c r="H128" s="268" t="n"/>
      <c r="I128" s="109" t="n"/>
      <c r="J128" s="268" t="n"/>
    </row>
    <row r="129">
      <c r="A129" s="267" t="n"/>
      <c r="B129" s="267" t="n"/>
      <c r="C129" s="267" t="n"/>
      <c r="D129" s="267" t="n"/>
      <c r="E129" s="267" t="n"/>
      <c r="F129" s="267" t="n"/>
      <c r="G129" s="268" t="n"/>
      <c r="H129" s="268" t="n"/>
      <c r="I129" s="109" t="n"/>
      <c r="J129" s="268" t="n"/>
    </row>
    <row r="130">
      <c r="A130" s="267" t="n"/>
      <c r="B130" s="267" t="n"/>
      <c r="C130" s="267" t="n"/>
      <c r="D130" s="267" t="n"/>
      <c r="E130" s="267" t="n"/>
      <c r="F130" s="267" t="n"/>
      <c r="G130" s="268" t="n"/>
      <c r="H130" s="268" t="n"/>
      <c r="I130" s="109" t="n"/>
      <c r="J130" s="268" t="n"/>
    </row>
    <row r="131">
      <c r="A131" s="267" t="n"/>
      <c r="B131" s="267" t="n"/>
      <c r="C131" s="267" t="n"/>
      <c r="D131" s="267" t="n"/>
      <c r="E131" s="267" t="n"/>
      <c r="F131" s="267" t="n"/>
      <c r="G131" s="268" t="n"/>
      <c r="H131" s="268" t="n"/>
      <c r="I131" s="109" t="n"/>
      <c r="J131" s="268" t="n"/>
    </row>
    <row r="132">
      <c r="A132" s="267" t="n"/>
      <c r="B132" s="267" t="n"/>
      <c r="C132" s="267" t="n"/>
      <c r="D132" s="267" t="n"/>
      <c r="E132" s="267" t="n"/>
      <c r="F132" s="267" t="n"/>
      <c r="G132" s="268" t="n"/>
      <c r="H132" s="268" t="n"/>
      <c r="I132" s="109" t="n"/>
      <c r="J132" s="268" t="n"/>
    </row>
    <row r="133">
      <c r="A133" s="267" t="n"/>
      <c r="B133" s="267" t="n"/>
      <c r="C133" s="267" t="n"/>
      <c r="D133" s="267" t="n"/>
      <c r="E133" s="267" t="n"/>
      <c r="F133" s="267" t="n"/>
      <c r="G133" s="268" t="n"/>
      <c r="H133" s="268" t="n"/>
      <c r="I133" s="109" t="n"/>
      <c r="J133" s="268" t="n"/>
    </row>
    <row r="134">
      <c r="A134" s="267" t="n"/>
      <c r="B134" s="267" t="n"/>
      <c r="C134" s="267" t="n"/>
      <c r="D134" s="267" t="n"/>
      <c r="E134" s="267" t="n"/>
      <c r="F134" s="267" t="n"/>
      <c r="G134" s="268" t="n"/>
      <c r="H134" s="268" t="n"/>
      <c r="I134" s="109" t="n"/>
      <c r="J134" s="268" t="n"/>
    </row>
    <row r="135">
      <c r="A135" s="267" t="n"/>
      <c r="B135" s="267" t="n"/>
      <c r="C135" s="267" t="n"/>
      <c r="D135" s="267" t="n"/>
      <c r="E135" s="267" t="n"/>
      <c r="F135" s="267" t="n"/>
      <c r="G135" s="268" t="n"/>
      <c r="H135" s="268" t="n"/>
      <c r="I135" s="109" t="n"/>
      <c r="J135" s="268" t="n"/>
    </row>
    <row r="136">
      <c r="A136" s="267" t="n"/>
      <c r="B136" s="267" t="n"/>
      <c r="C136" s="267" t="n"/>
      <c r="D136" s="267" t="n"/>
      <c r="E136" s="267" t="n"/>
      <c r="F136" s="267" t="n"/>
      <c r="G136" s="268" t="n"/>
      <c r="H136" s="268" t="n"/>
      <c r="I136" s="109" t="n"/>
      <c r="J136" s="268" t="n"/>
    </row>
    <row r="137">
      <c r="A137" s="267" t="n"/>
      <c r="B137" s="267" t="n"/>
      <c r="C137" s="267" t="n"/>
      <c r="D137" s="267" t="n"/>
      <c r="E137" s="267" t="n"/>
      <c r="F137" s="267" t="n"/>
      <c r="G137" s="268" t="n"/>
      <c r="H137" s="268" t="n"/>
      <c r="I137" s="109" t="n"/>
      <c r="J137" s="268" t="n"/>
    </row>
    <row r="138">
      <c r="A138" s="267" t="n"/>
      <c r="B138" s="267" t="n"/>
      <c r="C138" s="267" t="n"/>
      <c r="D138" s="267" t="n"/>
      <c r="E138" s="267" t="n"/>
      <c r="F138" s="267" t="n"/>
      <c r="G138" s="268" t="n"/>
      <c r="H138" s="268" t="n"/>
      <c r="I138" s="109" t="n"/>
      <c r="J138" s="268" t="n"/>
    </row>
    <row r="139">
      <c r="A139" s="267" t="n"/>
      <c r="B139" s="267" t="n"/>
      <c r="C139" s="267" t="n"/>
      <c r="D139" s="267" t="n"/>
      <c r="E139" s="267" t="n"/>
      <c r="F139" s="267" t="n"/>
      <c r="G139" s="268" t="n"/>
      <c r="H139" s="268" t="n"/>
      <c r="I139" s="109" t="n"/>
      <c r="J139" s="268" t="n"/>
    </row>
    <row r="140">
      <c r="A140" s="267" t="n"/>
      <c r="B140" s="267" t="n"/>
      <c r="C140" s="267" t="n"/>
      <c r="D140" s="267" t="n"/>
      <c r="E140" s="267" t="n"/>
      <c r="F140" s="267" t="n"/>
      <c r="G140" s="268" t="n"/>
      <c r="H140" s="268" t="n"/>
      <c r="I140" s="109" t="n"/>
      <c r="J140" s="268" t="n"/>
    </row>
    <row r="141">
      <c r="A141" s="267" t="n"/>
      <c r="B141" s="267" t="n"/>
      <c r="C141" s="267" t="n"/>
      <c r="D141" s="267" t="n"/>
      <c r="E141" s="267" t="n"/>
      <c r="F141" s="267" t="n"/>
      <c r="G141" s="268" t="n"/>
      <c r="H141" s="268" t="n"/>
      <c r="I141" s="109" t="n"/>
      <c r="J141" s="268" t="n"/>
    </row>
    <row r="142">
      <c r="A142" s="267" t="n"/>
      <c r="B142" s="267" t="n"/>
      <c r="C142" s="267" t="n"/>
      <c r="D142" s="267" t="n"/>
      <c r="E142" s="267" t="n"/>
      <c r="F142" s="267" t="n"/>
      <c r="G142" s="268" t="n"/>
      <c r="H142" s="268" t="n"/>
      <c r="I142" s="109" t="n"/>
      <c r="J142" s="268" t="n"/>
    </row>
    <row r="143">
      <c r="A143" s="267" t="n"/>
      <c r="B143" s="267" t="n"/>
      <c r="C143" s="267" t="n"/>
      <c r="D143" s="267" t="n"/>
      <c r="E143" s="267" t="n"/>
      <c r="F143" s="267" t="n"/>
      <c r="G143" s="268" t="n"/>
      <c r="H143" s="268" t="n"/>
      <c r="I143" s="109" t="n"/>
      <c r="J143" s="268" t="n"/>
    </row>
    <row r="144">
      <c r="A144" s="267" t="n"/>
      <c r="B144" s="267" t="n"/>
      <c r="C144" s="267" t="n"/>
      <c r="D144" s="267" t="n"/>
      <c r="E144" s="267" t="n"/>
      <c r="F144" s="267" t="n"/>
      <c r="G144" s="268" t="n"/>
      <c r="H144" s="268" t="n"/>
      <c r="I144" s="109" t="n"/>
      <c r="J144" s="268" t="n"/>
    </row>
    <row r="145">
      <c r="A145" s="267" t="n"/>
      <c r="B145" s="267" t="n"/>
      <c r="C145" s="267" t="n"/>
      <c r="D145" s="267" t="n"/>
      <c r="E145" s="267" t="n"/>
      <c r="F145" s="267" t="n"/>
      <c r="G145" s="268" t="n"/>
      <c r="H145" s="268" t="n"/>
      <c r="I145" s="109" t="n"/>
      <c r="J145" s="268" t="n"/>
    </row>
    <row r="146">
      <c r="A146" s="267" t="n"/>
      <c r="B146" s="267" t="n"/>
      <c r="C146" s="267" t="n"/>
      <c r="D146" s="267" t="n"/>
      <c r="E146" s="267" t="n"/>
      <c r="F146" s="267" t="n"/>
      <c r="G146" s="268" t="n"/>
      <c r="H146" s="268" t="n"/>
      <c r="I146" s="109" t="n"/>
      <c r="J146" s="268" t="n"/>
    </row>
    <row r="147">
      <c r="A147" s="267" t="n"/>
      <c r="B147" s="267" t="n"/>
      <c r="C147" s="267" t="n"/>
      <c r="D147" s="267" t="n"/>
      <c r="E147" s="267" t="n"/>
      <c r="F147" s="267" t="n"/>
      <c r="G147" s="268" t="n"/>
      <c r="H147" s="268" t="n"/>
      <c r="I147" s="109" t="n"/>
      <c r="J147" s="268" t="n"/>
    </row>
    <row r="148">
      <c r="A148" s="267" t="n"/>
      <c r="B148" s="267" t="n"/>
      <c r="C148" s="267" t="n"/>
      <c r="D148" s="267" t="n"/>
      <c r="E148" s="267" t="n"/>
      <c r="F148" s="267" t="n"/>
      <c r="G148" s="268" t="n"/>
      <c r="H148" s="268" t="n"/>
      <c r="I148" s="109" t="n"/>
      <c r="J148" s="268" t="n"/>
    </row>
    <row r="149">
      <c r="A149" s="267" t="n"/>
      <c r="B149" s="267" t="n"/>
      <c r="C149" s="267" t="n"/>
      <c r="D149" s="267" t="n"/>
      <c r="E149" s="267" t="n"/>
      <c r="F149" s="267" t="n"/>
      <c r="G149" s="268" t="n"/>
      <c r="H149" s="268" t="n"/>
      <c r="I149" s="109" t="n"/>
      <c r="J149" s="268" t="n"/>
    </row>
    <row r="150">
      <c r="A150" s="267" t="n"/>
      <c r="B150" s="267" t="n"/>
      <c r="C150" s="267" t="n"/>
      <c r="D150" s="267" t="n"/>
      <c r="E150" s="267" t="n"/>
      <c r="F150" s="267" t="n"/>
      <c r="G150" s="268" t="n"/>
      <c r="H150" s="268" t="n"/>
      <c r="I150" s="109" t="n"/>
      <c r="J150" s="268" t="n"/>
    </row>
    <row r="151">
      <c r="A151" s="267" t="n"/>
      <c r="B151" s="267" t="n"/>
      <c r="C151" s="267" t="n"/>
      <c r="D151" s="267" t="n"/>
      <c r="E151" s="267" t="n"/>
      <c r="F151" s="267" t="n"/>
      <c r="G151" s="268" t="n"/>
      <c r="H151" s="268" t="n"/>
      <c r="I151" s="109" t="n"/>
      <c r="J151" s="268" t="n"/>
    </row>
    <row r="152">
      <c r="A152" s="267" t="n"/>
      <c r="B152" s="267" t="n"/>
      <c r="C152" s="267" t="n"/>
      <c r="D152" s="267" t="n"/>
      <c r="E152" s="267" t="n"/>
      <c r="F152" s="267" t="n"/>
      <c r="G152" s="268" t="n"/>
      <c r="H152" s="268" t="n"/>
      <c r="I152" s="109" t="n"/>
      <c r="J152" s="268" t="n"/>
    </row>
    <row r="153">
      <c r="A153" s="267" t="n"/>
      <c r="B153" s="267" t="n"/>
      <c r="C153" s="267" t="n"/>
      <c r="D153" s="267" t="n"/>
      <c r="E153" s="267" t="n"/>
      <c r="F153" s="267" t="n"/>
      <c r="G153" s="268" t="n"/>
      <c r="H153" s="268" t="n"/>
      <c r="I153" s="109" t="n"/>
      <c r="J153" s="268" t="n"/>
    </row>
    <row r="154">
      <c r="A154" s="267" t="n"/>
      <c r="B154" s="267" t="n"/>
      <c r="C154" s="267" t="n"/>
      <c r="D154" s="267" t="n"/>
      <c r="E154" s="267" t="n"/>
      <c r="F154" s="267" t="n"/>
      <c r="G154" s="268" t="n"/>
      <c r="H154" s="268" t="n"/>
      <c r="I154" s="109" t="n"/>
      <c r="J154" s="268" t="n"/>
    </row>
    <row r="155">
      <c r="A155" s="267" t="n"/>
      <c r="B155" s="267" t="n"/>
      <c r="C155" s="267" t="n"/>
      <c r="D155" s="267" t="n"/>
      <c r="E155" s="267" t="n"/>
      <c r="F155" s="267" t="n"/>
      <c r="G155" s="268" t="n"/>
      <c r="H155" s="268" t="n"/>
      <c r="I155" s="109" t="n"/>
      <c r="J155" s="268" t="n"/>
    </row>
    <row r="156">
      <c r="A156" s="267" t="n"/>
      <c r="B156" s="267" t="n"/>
      <c r="C156" s="267" t="n"/>
      <c r="D156" s="267" t="n"/>
      <c r="E156" s="267" t="n"/>
      <c r="F156" s="267" t="n"/>
      <c r="G156" s="268" t="n"/>
      <c r="H156" s="268" t="n"/>
      <c r="I156" s="109" t="n"/>
      <c r="J156" s="268" t="n"/>
    </row>
    <row r="157">
      <c r="A157" s="267" t="n"/>
      <c r="B157" s="267" t="n"/>
      <c r="C157" s="267" t="n"/>
      <c r="D157" s="267" t="n"/>
      <c r="E157" s="267" t="n"/>
      <c r="F157" s="267" t="n"/>
      <c r="G157" s="268" t="n"/>
      <c r="H157" s="268" t="n"/>
      <c r="I157" s="109" t="n"/>
      <c r="J157" s="268" t="n"/>
    </row>
    <row r="158">
      <c r="A158" s="267" t="n"/>
      <c r="B158" s="267" t="n"/>
      <c r="C158" s="267" t="n"/>
      <c r="D158" s="267" t="n"/>
      <c r="E158" s="267" t="n"/>
      <c r="F158" s="267" t="n"/>
      <c r="G158" s="268" t="n"/>
      <c r="H158" s="268" t="n"/>
      <c r="I158" s="109" t="n"/>
      <c r="J158" s="268" t="n"/>
    </row>
    <row r="159">
      <c r="A159" s="267" t="n"/>
      <c r="B159" s="267" t="n"/>
      <c r="C159" s="267" t="n"/>
      <c r="D159" s="267" t="n"/>
      <c r="E159" s="267" t="n"/>
      <c r="F159" s="267" t="n"/>
      <c r="G159" s="268" t="n"/>
      <c r="H159" s="268" t="n"/>
      <c r="I159" s="109" t="n"/>
      <c r="J159" s="268" t="n"/>
    </row>
    <row r="160">
      <c r="A160" s="267" t="n"/>
      <c r="B160" s="267" t="n"/>
      <c r="C160" s="267" t="n"/>
      <c r="D160" s="267" t="n"/>
      <c r="E160" s="267" t="n"/>
      <c r="F160" s="267" t="n"/>
      <c r="G160" s="268" t="n"/>
      <c r="H160" s="268" t="n"/>
      <c r="I160" s="109" t="n"/>
      <c r="J160" s="268" t="n"/>
    </row>
    <row r="161">
      <c r="A161" s="267" t="n"/>
      <c r="B161" s="267" t="n"/>
      <c r="C161" s="267" t="n"/>
      <c r="D161" s="267" t="n"/>
      <c r="E161" s="267" t="n"/>
      <c r="F161" s="267" t="n"/>
      <c r="G161" s="268" t="n"/>
      <c r="H161" s="268" t="n"/>
      <c r="I161" s="109" t="n"/>
      <c r="J161" s="268" t="n"/>
    </row>
    <row r="162">
      <c r="A162" s="267" t="n"/>
      <c r="B162" s="267" t="n"/>
      <c r="C162" s="267" t="n"/>
      <c r="D162" s="267" t="n"/>
      <c r="E162" s="267" t="n"/>
      <c r="F162" s="267" t="n"/>
      <c r="G162" s="268" t="n"/>
      <c r="H162" s="268" t="n"/>
      <c r="I162" s="109" t="n"/>
      <c r="J162" s="268" t="n"/>
    </row>
    <row r="163">
      <c r="A163" s="267" t="n"/>
      <c r="B163" s="267" t="n"/>
      <c r="C163" s="267" t="n"/>
      <c r="D163" s="267" t="n"/>
      <c r="E163" s="267" t="n"/>
      <c r="F163" s="267" t="n"/>
      <c r="G163" s="268" t="n"/>
      <c r="H163" s="268" t="n"/>
      <c r="I163" s="109" t="n"/>
      <c r="J163" s="268" t="n"/>
    </row>
    <row r="164">
      <c r="A164" s="267" t="n"/>
      <c r="B164" s="267" t="n"/>
      <c r="C164" s="267" t="n"/>
      <c r="D164" s="267" t="n"/>
      <c r="E164" s="267" t="n"/>
      <c r="F164" s="267" t="n"/>
      <c r="G164" s="268" t="n"/>
      <c r="H164" s="268" t="n"/>
      <c r="I164" s="109" t="n"/>
      <c r="J164" s="268" t="n"/>
    </row>
    <row r="165">
      <c r="A165" s="267" t="n"/>
      <c r="B165" s="267" t="n"/>
      <c r="C165" s="267" t="n"/>
      <c r="D165" s="267" t="n"/>
      <c r="E165" s="267" t="n"/>
      <c r="F165" s="267" t="n"/>
      <c r="G165" s="268" t="n"/>
      <c r="H165" s="268" t="n"/>
      <c r="I165" s="109" t="n"/>
      <c r="J165" s="268" t="n"/>
    </row>
    <row r="166">
      <c r="A166" s="267" t="n"/>
      <c r="B166" s="267" t="n"/>
      <c r="C166" s="267" t="n"/>
      <c r="D166" s="267" t="n"/>
      <c r="E166" s="267" t="n"/>
      <c r="F166" s="267" t="n"/>
      <c r="G166" s="268" t="n"/>
      <c r="H166" s="268" t="n"/>
      <c r="I166" s="109" t="n"/>
      <c r="J166" s="268" t="n"/>
    </row>
    <row r="167">
      <c r="A167" s="267" t="n"/>
      <c r="B167" s="267" t="n"/>
      <c r="C167" s="267" t="n"/>
      <c r="D167" s="267" t="n"/>
      <c r="E167" s="267" t="n"/>
      <c r="F167" s="267" t="n"/>
      <c r="G167" s="268" t="n"/>
      <c r="H167" s="268" t="n"/>
      <c r="I167" s="109" t="n"/>
      <c r="J167" s="268" t="n"/>
    </row>
    <row r="168">
      <c r="A168" s="267" t="n"/>
      <c r="B168" s="267" t="n"/>
      <c r="C168" s="267" t="n"/>
      <c r="D168" s="267" t="n"/>
      <c r="E168" s="267" t="n"/>
      <c r="F168" s="267" t="n"/>
      <c r="G168" s="268" t="n"/>
      <c r="H168" s="268" t="n"/>
      <c r="I168" s="109" t="n"/>
      <c r="J168" s="268" t="n"/>
    </row>
    <row r="169">
      <c r="A169" s="267" t="n"/>
      <c r="B169" s="267" t="n"/>
      <c r="C169" s="267" t="n"/>
      <c r="D169" s="267" t="n"/>
      <c r="E169" s="267" t="n"/>
      <c r="F169" s="267" t="n"/>
      <c r="G169" s="268" t="n"/>
      <c r="H169" s="268" t="n"/>
      <c r="I169" s="109" t="n"/>
      <c r="J169" s="268" t="n"/>
    </row>
    <row r="170">
      <c r="A170" s="267" t="n"/>
      <c r="B170" s="267" t="n"/>
      <c r="C170" s="267" t="n"/>
      <c r="D170" s="267" t="n"/>
      <c r="E170" s="267" t="n"/>
      <c r="F170" s="267" t="n"/>
      <c r="G170" s="268" t="n"/>
      <c r="H170" s="268" t="n"/>
      <c r="I170" s="109" t="n"/>
      <c r="J170" s="268" t="n"/>
    </row>
    <row r="171">
      <c r="A171" s="267" t="n"/>
      <c r="B171" s="267" t="n"/>
      <c r="C171" s="267" t="n"/>
      <c r="D171" s="267" t="n"/>
      <c r="E171" s="267" t="n"/>
      <c r="F171" s="267" t="n"/>
      <c r="G171" s="268" t="n"/>
      <c r="H171" s="268" t="n"/>
      <c r="I171" s="109" t="n"/>
      <c r="J171" s="268" t="n"/>
    </row>
    <row r="172">
      <c r="A172" s="267" t="n"/>
      <c r="B172" s="267" t="n"/>
      <c r="C172" s="267" t="n"/>
      <c r="D172" s="267" t="n"/>
      <c r="E172" s="267" t="n"/>
      <c r="F172" s="267" t="n"/>
      <c r="G172" s="268" t="n"/>
      <c r="H172" s="268" t="n"/>
      <c r="I172" s="109" t="n"/>
      <c r="J172" s="268" t="n"/>
    </row>
    <row r="173">
      <c r="A173" s="267" t="n"/>
      <c r="B173" s="267" t="n"/>
      <c r="C173" s="267" t="n"/>
      <c r="D173" s="267" t="n"/>
      <c r="E173" s="267" t="n"/>
      <c r="F173" s="267" t="n"/>
      <c r="G173" s="268" t="n"/>
      <c r="H173" s="268" t="n"/>
      <c r="I173" s="109" t="n"/>
      <c r="J173" s="268" t="n"/>
    </row>
    <row r="174">
      <c r="A174" s="267" t="n"/>
      <c r="B174" s="267" t="n"/>
      <c r="C174" s="267" t="n"/>
      <c r="D174" s="267" t="n"/>
      <c r="E174" s="267" t="n"/>
      <c r="F174" s="267" t="n"/>
      <c r="G174" s="268" t="n"/>
      <c r="H174" s="268" t="n"/>
      <c r="I174" s="109" t="n"/>
      <c r="J174" s="268" t="n"/>
    </row>
    <row r="175">
      <c r="A175" s="267" t="n"/>
      <c r="B175" s="267" t="n"/>
      <c r="C175" s="267" t="n"/>
      <c r="D175" s="267" t="n"/>
      <c r="E175" s="267" t="n"/>
      <c r="F175" s="267" t="n"/>
      <c r="G175" s="268" t="n"/>
      <c r="H175" s="268" t="n"/>
      <c r="I175" s="109" t="n"/>
      <c r="J175" s="268" t="n"/>
    </row>
    <row r="176">
      <c r="A176" s="267" t="n"/>
      <c r="B176" s="267" t="n"/>
      <c r="C176" s="267" t="n"/>
      <c r="D176" s="267" t="n"/>
      <c r="E176" s="267" t="n"/>
      <c r="F176" s="267" t="n"/>
      <c r="G176" s="268" t="n"/>
      <c r="H176" s="268" t="n"/>
      <c r="I176" s="109" t="n"/>
      <c r="J176" s="268" t="n"/>
    </row>
    <row r="177">
      <c r="A177" s="267" t="n"/>
      <c r="B177" s="267" t="n"/>
      <c r="C177" s="267" t="n"/>
      <c r="D177" s="267" t="n"/>
      <c r="E177" s="267" t="n"/>
      <c r="F177" s="267" t="n"/>
      <c r="G177" s="268" t="n"/>
      <c r="H177" s="268" t="n"/>
      <c r="I177" s="109" t="n"/>
      <c r="J177" s="268" t="n"/>
    </row>
    <row r="178">
      <c r="A178" s="267" t="n"/>
      <c r="B178" s="267" t="n"/>
      <c r="C178" s="267" t="n"/>
      <c r="D178" s="267" t="n"/>
      <c r="E178" s="267" t="n"/>
      <c r="F178" s="267" t="n"/>
      <c r="G178" s="268" t="n"/>
      <c r="H178" s="268" t="n"/>
      <c r="I178" s="109" t="n"/>
      <c r="J178" s="268" t="n"/>
    </row>
    <row r="179">
      <c r="A179" s="267" t="n"/>
      <c r="B179" s="267" t="n"/>
      <c r="C179" s="267" t="n"/>
      <c r="D179" s="267" t="n"/>
      <c r="E179" s="267" t="n"/>
      <c r="F179" s="267" t="n"/>
      <c r="G179" s="268" t="n"/>
      <c r="H179" s="268" t="n"/>
      <c r="I179" s="109" t="n"/>
      <c r="J179" s="268" t="n"/>
    </row>
    <row r="180">
      <c r="A180" s="267" t="n"/>
      <c r="B180" s="267" t="n"/>
      <c r="C180" s="267" t="n"/>
      <c r="D180" s="267" t="n"/>
      <c r="E180" s="267" t="n"/>
      <c r="F180" s="267" t="n"/>
      <c r="G180" s="268" t="n"/>
      <c r="H180" s="268" t="n"/>
      <c r="I180" s="109" t="n"/>
      <c r="J180" s="268" t="n"/>
    </row>
    <row r="181">
      <c r="A181" s="267" t="n"/>
      <c r="B181" s="267" t="n"/>
      <c r="C181" s="267" t="n"/>
      <c r="D181" s="267" t="n"/>
      <c r="E181" s="267" t="n"/>
      <c r="F181" s="267" t="n"/>
      <c r="G181" s="268" t="n"/>
      <c r="H181" s="268" t="n"/>
      <c r="I181" s="109" t="n"/>
      <c r="J181" s="268" t="n"/>
    </row>
    <row r="182">
      <c r="A182" s="267" t="n"/>
      <c r="B182" s="267" t="n"/>
      <c r="C182" s="267" t="n"/>
      <c r="D182" s="267" t="n"/>
      <c r="E182" s="267" t="n"/>
      <c r="F182" s="267" t="n"/>
      <c r="G182" s="268" t="n"/>
      <c r="H182" s="268" t="n"/>
      <c r="I182" s="109" t="n"/>
      <c r="J182" s="268" t="n"/>
    </row>
    <row r="183">
      <c r="A183" s="267" t="n"/>
      <c r="B183" s="267" t="n"/>
      <c r="C183" s="267" t="n"/>
      <c r="D183" s="267" t="n"/>
      <c r="E183" s="267" t="n"/>
      <c r="F183" s="267" t="n"/>
      <c r="G183" s="268" t="n"/>
      <c r="H183" s="268" t="n"/>
      <c r="I183" s="109" t="n"/>
      <c r="J183" s="268" t="n"/>
    </row>
    <row r="184">
      <c r="A184" s="267" t="n"/>
      <c r="B184" s="267" t="n"/>
      <c r="C184" s="267" t="n"/>
      <c r="D184" s="267" t="n"/>
      <c r="E184" s="267" t="n"/>
      <c r="F184" s="267" t="n"/>
      <c r="G184" s="268" t="n"/>
      <c r="H184" s="268" t="n"/>
      <c r="I184" s="109" t="n"/>
      <c r="J184" s="268" t="n"/>
    </row>
    <row r="185">
      <c r="A185" s="267" t="n"/>
      <c r="B185" s="267" t="n"/>
      <c r="C185" s="267" t="n"/>
      <c r="D185" s="267" t="n"/>
      <c r="E185" s="267" t="n"/>
      <c r="F185" s="267" t="n"/>
      <c r="G185" s="268" t="n"/>
      <c r="H185" s="268" t="n"/>
      <c r="I185" s="109" t="n"/>
      <c r="J185" s="268" t="n"/>
    </row>
    <row r="186">
      <c r="A186" s="267" t="n"/>
      <c r="B186" s="267" t="n"/>
      <c r="C186" s="267" t="n"/>
      <c r="D186" s="267" t="n"/>
      <c r="E186" s="267" t="n"/>
      <c r="F186" s="267" t="n"/>
      <c r="G186" s="268" t="n"/>
      <c r="H186" s="268" t="n"/>
      <c r="I186" s="109" t="n"/>
      <c r="J186" s="268" t="n"/>
    </row>
    <row r="187">
      <c r="A187" s="267" t="n"/>
      <c r="B187" s="267" t="n"/>
      <c r="C187" s="267" t="n"/>
      <c r="D187" s="267" t="n"/>
      <c r="E187" s="267" t="n"/>
      <c r="F187" s="267" t="n"/>
      <c r="G187" s="268" t="n"/>
      <c r="H187" s="268" t="n"/>
      <c r="I187" s="109" t="n"/>
      <c r="J187" s="268" t="n"/>
    </row>
    <row r="188">
      <c r="A188" s="267" t="n"/>
      <c r="B188" s="267" t="n"/>
      <c r="C188" s="267" t="n"/>
      <c r="D188" s="267" t="n"/>
      <c r="E188" s="267" t="n"/>
      <c r="F188" s="267" t="n"/>
      <c r="G188" s="268" t="n"/>
      <c r="H188" s="268" t="n"/>
      <c r="I188" s="109" t="n"/>
      <c r="J188" s="268" t="n"/>
    </row>
    <row r="189">
      <c r="A189" s="267" t="n"/>
      <c r="B189" s="267" t="n"/>
      <c r="C189" s="267" t="n"/>
      <c r="D189" s="267" t="n"/>
      <c r="E189" s="267" t="n"/>
      <c r="F189" s="267" t="n"/>
      <c r="G189" s="268" t="n"/>
      <c r="H189" s="268" t="n"/>
      <c r="I189" s="109" t="n"/>
      <c r="J189" s="268" t="n"/>
    </row>
    <row r="190">
      <c r="A190" s="267" t="n"/>
      <c r="B190" s="267" t="n"/>
      <c r="C190" s="267" t="n"/>
      <c r="D190" s="267" t="n"/>
      <c r="E190" s="267" t="n"/>
      <c r="F190" s="267" t="n"/>
      <c r="G190" s="268" t="n"/>
      <c r="H190" s="268" t="n"/>
      <c r="I190" s="109" t="n"/>
      <c r="J190" s="268" t="n"/>
    </row>
    <row r="191">
      <c r="A191" s="267" t="n"/>
      <c r="B191" s="267" t="n"/>
      <c r="C191" s="267" t="n"/>
      <c r="D191" s="267" t="n"/>
      <c r="E191" s="267" t="n"/>
      <c r="F191" s="267" t="n"/>
      <c r="G191" s="268" t="n"/>
      <c r="H191" s="268" t="n"/>
      <c r="I191" s="109" t="n"/>
      <c r="J191" s="268" t="n"/>
    </row>
    <row r="192">
      <c r="A192" s="267" t="n"/>
      <c r="B192" s="267" t="n"/>
      <c r="C192" s="267" t="n"/>
      <c r="D192" s="267" t="n"/>
      <c r="E192" s="267" t="n"/>
      <c r="F192" s="267" t="n"/>
      <c r="G192" s="268" t="n"/>
      <c r="H192" s="268" t="n"/>
      <c r="I192" s="109" t="n"/>
      <c r="J192" s="268" t="n"/>
    </row>
    <row r="193">
      <c r="A193" s="267" t="n"/>
      <c r="B193" s="267" t="n"/>
      <c r="C193" s="267" t="n"/>
      <c r="D193" s="267" t="n"/>
      <c r="E193" s="267" t="n"/>
      <c r="F193" s="267" t="n"/>
      <c r="G193" s="268" t="n"/>
      <c r="H193" s="268" t="n"/>
      <c r="I193" s="109" t="n"/>
      <c r="J193" s="268" t="n"/>
    </row>
    <row r="194">
      <c r="A194" s="267" t="n"/>
      <c r="B194" s="267" t="n"/>
      <c r="C194" s="267" t="n"/>
      <c r="D194" s="267" t="n"/>
      <c r="E194" s="267" t="n"/>
      <c r="F194" s="267" t="n"/>
      <c r="G194" s="268" t="n"/>
      <c r="H194" s="268" t="n"/>
      <c r="I194" s="109" t="n"/>
      <c r="J194" s="268" t="n"/>
    </row>
    <row r="195">
      <c r="A195" s="267" t="n"/>
      <c r="B195" s="267" t="n"/>
      <c r="C195" s="267" t="n"/>
      <c r="D195" s="267" t="n"/>
      <c r="E195" s="267" t="n"/>
      <c r="F195" s="267" t="n"/>
      <c r="G195" s="268" t="n"/>
      <c r="H195" s="268" t="n"/>
      <c r="I195" s="109" t="n"/>
      <c r="J195" s="268" t="n"/>
    </row>
    <row r="196">
      <c r="A196" s="267" t="n"/>
      <c r="B196" s="267" t="n"/>
      <c r="C196" s="267" t="n"/>
      <c r="D196" s="267" t="n"/>
      <c r="E196" s="267" t="n"/>
      <c r="F196" s="267" t="n"/>
      <c r="G196" s="268" t="n"/>
      <c r="H196" s="268" t="n"/>
      <c r="I196" s="109" t="n"/>
      <c r="J196" s="268" t="n"/>
    </row>
    <row r="197">
      <c r="A197" s="267" t="n"/>
      <c r="B197" s="267" t="n"/>
      <c r="C197" s="267" t="n"/>
      <c r="D197" s="267" t="n"/>
      <c r="E197" s="267" t="n"/>
      <c r="F197" s="267" t="n"/>
      <c r="G197" s="268" t="n"/>
      <c r="H197" s="268" t="n"/>
      <c r="I197" s="109" t="n"/>
      <c r="J197" s="268" t="n"/>
    </row>
    <row r="198">
      <c r="A198" s="267" t="n"/>
      <c r="B198" s="267" t="n"/>
      <c r="C198" s="267" t="n"/>
      <c r="D198" s="267" t="n"/>
      <c r="E198" s="267" t="n"/>
      <c r="F198" s="267" t="n"/>
      <c r="G198" s="268" t="n"/>
      <c r="H198" s="268" t="n"/>
      <c r="I198" s="109" t="n"/>
      <c r="J198" s="268" t="n"/>
    </row>
    <row r="199">
      <c r="A199" s="267" t="n"/>
      <c r="B199" s="267" t="n"/>
      <c r="C199" s="267" t="n"/>
      <c r="D199" s="267" t="n"/>
      <c r="E199" s="267" t="n"/>
      <c r="F199" s="267" t="n"/>
      <c r="G199" s="268" t="n"/>
      <c r="H199" s="268" t="n"/>
      <c r="I199" s="109" t="n"/>
      <c r="J199" s="268" t="n"/>
    </row>
    <row r="200">
      <c r="A200" s="267" t="n"/>
      <c r="B200" s="267" t="n"/>
      <c r="C200" s="267" t="n"/>
      <c r="D200" s="267" t="n"/>
      <c r="E200" s="267" t="n"/>
      <c r="F200" s="267" t="n"/>
      <c r="G200" s="268" t="n"/>
      <c r="H200" s="268" t="n"/>
      <c r="I200" s="109" t="n"/>
      <c r="J200" s="268" t="n"/>
    </row>
    <row r="201">
      <c r="A201" s="267" t="n"/>
      <c r="B201" s="267" t="n"/>
      <c r="C201" s="267" t="n"/>
      <c r="D201" s="267" t="n"/>
      <c r="E201" s="267" t="n"/>
      <c r="F201" s="267" t="n"/>
      <c r="G201" s="268" t="n"/>
      <c r="H201" s="268" t="n"/>
      <c r="I201" s="109" t="n"/>
      <c r="J201" s="268" t="n"/>
    </row>
    <row r="202">
      <c r="A202" s="267" t="n"/>
      <c r="B202" s="267" t="n"/>
      <c r="C202" s="267" t="n"/>
      <c r="D202" s="267" t="n"/>
      <c r="E202" s="267" t="n"/>
      <c r="F202" s="267" t="n"/>
      <c r="G202" s="268" t="n"/>
      <c r="H202" s="268" t="n"/>
      <c r="I202" s="109" t="n"/>
      <c r="J202" s="268" t="n"/>
    </row>
    <row r="203">
      <c r="A203" s="267" t="n"/>
      <c r="B203" s="267" t="n"/>
      <c r="C203" s="267" t="n"/>
      <c r="D203" s="267" t="n"/>
      <c r="E203" s="267" t="n"/>
      <c r="F203" s="267" t="n"/>
      <c r="G203" s="268" t="n"/>
      <c r="H203" s="268" t="n"/>
      <c r="I203" s="109" t="n"/>
      <c r="J203" s="268" t="n"/>
    </row>
    <row r="204">
      <c r="A204" s="267" t="n"/>
      <c r="B204" s="267" t="n"/>
      <c r="C204" s="267" t="n"/>
      <c r="D204" s="267" t="n"/>
      <c r="E204" s="267" t="n"/>
      <c r="F204" s="267" t="n"/>
      <c r="G204" s="268" t="n"/>
      <c r="H204" s="268" t="n"/>
      <c r="I204" s="109" t="n"/>
      <c r="J204" s="268" t="n"/>
    </row>
    <row r="205">
      <c r="A205" s="267" t="n"/>
      <c r="B205" s="267" t="n"/>
      <c r="C205" s="267" t="n"/>
      <c r="D205" s="267" t="n"/>
      <c r="E205" s="267" t="n"/>
      <c r="F205" s="267" t="n"/>
      <c r="G205" s="268" t="n"/>
      <c r="H205" s="268" t="n"/>
      <c r="I205" s="109" t="n"/>
      <c r="J205" s="268" t="n"/>
    </row>
    <row r="206">
      <c r="A206" s="267" t="n"/>
      <c r="B206" s="267" t="n"/>
      <c r="C206" s="267" t="n"/>
      <c r="D206" s="267" t="n"/>
      <c r="E206" s="267" t="n"/>
      <c r="F206" s="267" t="n"/>
      <c r="G206" s="268" t="n"/>
      <c r="H206" s="268" t="n"/>
      <c r="I206" s="109" t="n"/>
      <c r="J206" s="268" t="n"/>
    </row>
    <row r="207">
      <c r="A207" s="267" t="n"/>
      <c r="B207" s="267" t="n"/>
      <c r="C207" s="267" t="n"/>
      <c r="D207" s="267" t="n"/>
      <c r="E207" s="267" t="n"/>
      <c r="F207" s="267" t="n"/>
      <c r="G207" s="268" t="n"/>
      <c r="H207" s="268" t="n"/>
      <c r="I207" s="109" t="n"/>
      <c r="J207" s="268" t="n"/>
    </row>
    <row r="208">
      <c r="A208" s="267" t="n"/>
      <c r="B208" s="267" t="n"/>
      <c r="C208" s="267" t="n"/>
      <c r="D208" s="267" t="n"/>
      <c r="E208" s="267" t="n"/>
      <c r="F208" s="267" t="n"/>
      <c r="G208" s="268" t="n"/>
      <c r="H208" s="268" t="n"/>
      <c r="I208" s="109" t="n"/>
      <c r="J208" s="268" t="n"/>
    </row>
    <row r="209">
      <c r="A209" s="267" t="n"/>
      <c r="B209" s="267" t="n"/>
      <c r="C209" s="267" t="n"/>
      <c r="D209" s="267" t="n"/>
      <c r="E209" s="267" t="n"/>
      <c r="F209" s="267" t="n"/>
      <c r="G209" s="268" t="n"/>
      <c r="H209" s="268" t="n"/>
      <c r="I209" s="109" t="n"/>
      <c r="J209" s="268" t="n"/>
    </row>
    <row r="210">
      <c r="A210" s="267" t="n"/>
      <c r="B210" s="267" t="n"/>
      <c r="C210" s="267" t="n"/>
      <c r="D210" s="267" t="n"/>
      <c r="E210" s="267" t="n"/>
      <c r="F210" s="267" t="n"/>
      <c r="G210" s="268" t="n"/>
      <c r="H210" s="268" t="n"/>
      <c r="I210" s="109" t="n"/>
      <c r="J210" s="268" t="n"/>
    </row>
    <row r="211">
      <c r="A211" s="267" t="n"/>
      <c r="B211" s="267" t="n"/>
      <c r="C211" s="267" t="n"/>
      <c r="D211" s="267" t="n"/>
      <c r="E211" s="267" t="n"/>
      <c r="F211" s="267" t="n"/>
      <c r="G211" s="268" t="n"/>
      <c r="H211" s="268" t="n"/>
      <c r="I211" s="109" t="n"/>
      <c r="J211" s="268" t="n"/>
    </row>
    <row r="212">
      <c r="A212" s="267" t="n"/>
      <c r="B212" s="267" t="n"/>
      <c r="C212" s="267" t="n"/>
      <c r="D212" s="267" t="n"/>
      <c r="E212" s="267" t="n"/>
      <c r="F212" s="267" t="n"/>
      <c r="G212" s="268" t="n"/>
      <c r="H212" s="268" t="n"/>
      <c r="I212" s="109" t="n"/>
      <c r="J212" s="268" t="n"/>
    </row>
    <row r="213">
      <c r="A213" s="267" t="n"/>
      <c r="B213" s="267" t="n"/>
      <c r="C213" s="267" t="n"/>
      <c r="D213" s="267" t="n"/>
      <c r="E213" s="267" t="n"/>
      <c r="F213" s="267" t="n"/>
      <c r="G213" s="268" t="n"/>
      <c r="H213" s="268" t="n"/>
      <c r="I213" s="109" t="n"/>
      <c r="J213" s="268" t="n"/>
    </row>
    <row r="214">
      <c r="A214" s="267" t="n"/>
      <c r="B214" s="267" t="n"/>
      <c r="C214" s="267" t="n"/>
      <c r="D214" s="267" t="n"/>
      <c r="E214" s="267" t="n"/>
      <c r="F214" s="267" t="n"/>
      <c r="G214" s="268" t="n"/>
      <c r="H214" s="268" t="n"/>
      <c r="I214" s="109" t="n"/>
      <c r="J214" s="268" t="n"/>
    </row>
    <row r="215">
      <c r="A215" s="267" t="n"/>
      <c r="B215" s="267" t="n"/>
      <c r="C215" s="267" t="n"/>
      <c r="D215" s="267" t="n"/>
      <c r="E215" s="267" t="n"/>
      <c r="F215" s="267" t="n"/>
      <c r="G215" s="268" t="n"/>
      <c r="H215" s="268" t="n"/>
      <c r="I215" s="109" t="n"/>
      <c r="J215" s="268" t="n"/>
    </row>
    <row r="216">
      <c r="A216" s="267" t="n"/>
      <c r="B216" s="267" t="n"/>
      <c r="C216" s="267" t="n"/>
      <c r="D216" s="267" t="n"/>
      <c r="E216" s="267" t="n"/>
      <c r="F216" s="267" t="n"/>
      <c r="G216" s="268" t="n"/>
      <c r="H216" s="268" t="n"/>
      <c r="I216" s="109" t="n"/>
      <c r="J216" s="268" t="n"/>
    </row>
    <row r="217">
      <c r="A217" s="267" t="n"/>
      <c r="B217" s="267" t="n"/>
      <c r="C217" s="267" t="n"/>
      <c r="D217" s="267" t="n"/>
      <c r="E217" s="267" t="n"/>
      <c r="F217" s="267" t="n"/>
      <c r="G217" s="268" t="n"/>
      <c r="H217" s="268" t="n"/>
      <c r="I217" s="109" t="n"/>
      <c r="J217" s="268" t="n"/>
    </row>
    <row r="218">
      <c r="A218" s="267" t="n"/>
      <c r="B218" s="267" t="n"/>
      <c r="C218" s="267" t="n"/>
      <c r="D218" s="267" t="n"/>
      <c r="E218" s="267" t="n"/>
      <c r="F218" s="267" t="n"/>
      <c r="G218" s="268" t="n"/>
      <c r="H218" s="268" t="n"/>
      <c r="I218" s="109" t="n"/>
      <c r="J218" s="268" t="n"/>
    </row>
    <row r="219">
      <c r="A219" s="267" t="n"/>
      <c r="B219" s="267" t="n"/>
      <c r="C219" s="267" t="n"/>
      <c r="D219" s="267" t="n"/>
      <c r="E219" s="267" t="n"/>
      <c r="F219" s="267" t="n"/>
      <c r="G219" s="268" t="n"/>
      <c r="H219" s="268" t="n"/>
      <c r="I219" s="109" t="n"/>
      <c r="J219" s="268" t="n"/>
    </row>
    <row r="220">
      <c r="A220" s="267" t="n"/>
      <c r="B220" s="267" t="n"/>
      <c r="C220" s="267" t="n"/>
      <c r="D220" s="267" t="n"/>
      <c r="E220" s="267" t="n"/>
      <c r="F220" s="267" t="n"/>
      <c r="G220" s="268" t="n"/>
      <c r="H220" s="268" t="n"/>
      <c r="I220" s="109" t="n"/>
      <c r="J220" s="268" t="n"/>
    </row>
    <row r="221">
      <c r="A221" s="267" t="n"/>
      <c r="B221" s="267" t="n"/>
      <c r="C221" s="267" t="n"/>
      <c r="D221" s="267" t="n"/>
      <c r="E221" s="267" t="n"/>
      <c r="F221" s="267" t="n"/>
      <c r="G221" s="268" t="n"/>
      <c r="H221" s="268" t="n"/>
      <c r="I221" s="109" t="n"/>
      <c r="J221" s="268" t="n"/>
    </row>
    <row r="222">
      <c r="A222" s="267" t="n"/>
      <c r="B222" s="267" t="n"/>
      <c r="C222" s="267" t="n"/>
      <c r="D222" s="267" t="n"/>
      <c r="E222" s="267" t="n"/>
      <c r="F222" s="267" t="n"/>
      <c r="G222" s="268" t="n"/>
      <c r="H222" s="268" t="n"/>
      <c r="I222" s="109" t="n"/>
      <c r="J222" s="268" t="n"/>
    </row>
    <row r="223">
      <c r="A223" s="267" t="n"/>
      <c r="B223" s="267" t="n"/>
      <c r="C223" s="267" t="n"/>
      <c r="D223" s="267" t="n"/>
      <c r="E223" s="267" t="n"/>
      <c r="F223" s="267" t="n"/>
      <c r="G223" s="268" t="n"/>
      <c r="H223" s="268" t="n"/>
      <c r="I223" s="109" t="n"/>
      <c r="J223" s="268" t="n"/>
    </row>
    <row r="224">
      <c r="A224" s="267" t="n"/>
      <c r="B224" s="267" t="n"/>
      <c r="C224" s="267" t="n"/>
      <c r="D224" s="267" t="n"/>
      <c r="E224" s="267" t="n"/>
      <c r="F224" s="267" t="n"/>
      <c r="G224" s="268" t="n"/>
      <c r="H224" s="268" t="n"/>
      <c r="I224" s="109" t="n"/>
      <c r="J224" s="268" t="n"/>
    </row>
    <row r="225">
      <c r="A225" s="267" t="n"/>
      <c r="B225" s="267" t="n"/>
      <c r="C225" s="267" t="n"/>
      <c r="D225" s="267" t="n"/>
      <c r="E225" s="267" t="n"/>
      <c r="F225" s="267" t="n"/>
      <c r="G225" s="268" t="n"/>
      <c r="H225" s="268" t="n"/>
      <c r="I225" s="109" t="n"/>
      <c r="J225" s="268" t="n"/>
    </row>
    <row r="226">
      <c r="A226" s="267" t="n"/>
      <c r="B226" s="267" t="n"/>
      <c r="C226" s="267" t="n"/>
      <c r="D226" s="267" t="n"/>
      <c r="E226" s="267" t="n"/>
      <c r="F226" s="267" t="n"/>
      <c r="G226" s="268" t="n"/>
      <c r="H226" s="268" t="n"/>
      <c r="I226" s="109" t="n"/>
      <c r="J226" s="268" t="n"/>
    </row>
    <row r="227">
      <c r="A227" s="267" t="n"/>
      <c r="B227" s="267" t="n"/>
      <c r="C227" s="267" t="n"/>
      <c r="D227" s="267" t="n"/>
      <c r="E227" s="267" t="n"/>
      <c r="F227" s="267" t="n"/>
      <c r="G227" s="268" t="n"/>
      <c r="H227" s="268" t="n"/>
      <c r="I227" s="109" t="n"/>
      <c r="J227" s="268" t="n"/>
    </row>
    <row r="228">
      <c r="A228" s="267" t="n"/>
      <c r="B228" s="267" t="n"/>
      <c r="C228" s="267" t="n"/>
      <c r="D228" s="267" t="n"/>
      <c r="E228" s="267" t="n"/>
      <c r="F228" s="267" t="n"/>
      <c r="G228" s="268" t="n"/>
      <c r="H228" s="268" t="n"/>
      <c r="I228" s="109" t="n"/>
      <c r="J228" s="268" t="n"/>
    </row>
    <row r="229">
      <c r="A229" s="267" t="n"/>
      <c r="B229" s="267" t="n"/>
      <c r="C229" s="267" t="n"/>
      <c r="D229" s="267" t="n"/>
      <c r="E229" s="267" t="n"/>
      <c r="F229" s="267" t="n"/>
      <c r="G229" s="268" t="n"/>
      <c r="H229" s="268" t="n"/>
      <c r="I229" s="109" t="n"/>
      <c r="J229" s="268" t="n"/>
    </row>
    <row r="230">
      <c r="A230" s="267" t="n"/>
      <c r="B230" s="267" t="n"/>
      <c r="C230" s="267" t="n"/>
      <c r="D230" s="267" t="n"/>
      <c r="E230" s="267" t="n"/>
      <c r="F230" s="267" t="n"/>
      <c r="G230" s="268" t="n"/>
      <c r="H230" s="268" t="n"/>
      <c r="I230" s="109" t="n"/>
      <c r="J230" s="268" t="n"/>
    </row>
    <row r="231">
      <c r="A231" s="267" t="n"/>
      <c r="B231" s="267" t="n"/>
      <c r="C231" s="267" t="n"/>
      <c r="D231" s="267" t="n"/>
      <c r="E231" s="267" t="n"/>
      <c r="F231" s="267" t="n"/>
      <c r="G231" s="268" t="n"/>
      <c r="H231" s="268" t="n"/>
      <c r="I231" s="109" t="n"/>
      <c r="J231" s="268" t="n"/>
    </row>
    <row r="232">
      <c r="A232" s="267" t="n"/>
      <c r="B232" s="267" t="n"/>
      <c r="C232" s="267" t="n"/>
      <c r="D232" s="267" t="n"/>
      <c r="E232" s="267" t="n"/>
      <c r="F232" s="267" t="n"/>
      <c r="G232" s="268" t="n"/>
      <c r="H232" s="268" t="n"/>
      <c r="I232" s="109" t="n"/>
      <c r="J232" s="268" t="n"/>
    </row>
    <row r="233">
      <c r="A233" s="267" t="n"/>
      <c r="B233" s="267" t="n"/>
      <c r="C233" s="267" t="n"/>
      <c r="D233" s="267" t="n"/>
      <c r="E233" s="267" t="n"/>
      <c r="F233" s="267" t="n"/>
      <c r="G233" s="268" t="n"/>
      <c r="H233" s="268" t="n"/>
      <c r="I233" s="109" t="n"/>
      <c r="J233" s="268" t="n"/>
    </row>
    <row r="234">
      <c r="A234" s="267" t="n"/>
      <c r="B234" s="267" t="n"/>
      <c r="C234" s="267" t="n"/>
      <c r="D234" s="267" t="n"/>
      <c r="E234" s="267" t="n"/>
      <c r="F234" s="267" t="n"/>
      <c r="G234" s="268" t="n"/>
      <c r="H234" s="268" t="n"/>
      <c r="I234" s="109" t="n"/>
      <c r="J234" s="268" t="n"/>
    </row>
    <row r="235">
      <c r="A235" s="267" t="n"/>
      <c r="B235" s="267" t="n"/>
      <c r="C235" s="267" t="n"/>
      <c r="D235" s="267" t="n"/>
      <c r="E235" s="267" t="n"/>
      <c r="F235" s="267" t="n"/>
      <c r="G235" s="268" t="n"/>
      <c r="H235" s="268" t="n"/>
      <c r="I235" s="109" t="n"/>
      <c r="J235" s="268" t="n"/>
    </row>
    <row r="236">
      <c r="A236" s="267" t="n"/>
      <c r="B236" s="267" t="n"/>
      <c r="C236" s="267" t="n"/>
      <c r="D236" s="267" t="n"/>
      <c r="E236" s="267" t="n"/>
      <c r="F236" s="267" t="n"/>
      <c r="G236" s="268" t="n"/>
      <c r="H236" s="268" t="n"/>
      <c r="I236" s="109" t="n"/>
      <c r="J236" s="268" t="n"/>
    </row>
    <row r="237">
      <c r="A237" s="267" t="n"/>
      <c r="B237" s="267" t="n"/>
      <c r="C237" s="267" t="n"/>
      <c r="D237" s="267" t="n"/>
      <c r="E237" s="267" t="n"/>
      <c r="F237" s="267" t="n"/>
      <c r="G237" s="268" t="n"/>
      <c r="H237" s="268" t="n"/>
      <c r="I237" s="109" t="n"/>
      <c r="J237" s="268" t="n"/>
    </row>
    <row r="238">
      <c r="A238" s="267" t="n"/>
      <c r="B238" s="267" t="n"/>
      <c r="C238" s="267" t="n"/>
      <c r="D238" s="267" t="n"/>
      <c r="E238" s="267" t="n"/>
      <c r="F238" s="267" t="n"/>
      <c r="G238" s="268" t="n"/>
      <c r="H238" s="268" t="n"/>
      <c r="I238" s="109" t="n"/>
      <c r="J238" s="268" t="n"/>
    </row>
    <row r="239">
      <c r="A239" s="267" t="n"/>
      <c r="B239" s="267" t="n"/>
      <c r="C239" s="267" t="n"/>
      <c r="D239" s="267" t="n"/>
      <c r="E239" s="267" t="n"/>
      <c r="F239" s="267" t="n"/>
      <c r="G239" s="268" t="n"/>
      <c r="H239" s="268" t="n"/>
      <c r="I239" s="109" t="n"/>
      <c r="J239" s="268" t="n"/>
    </row>
    <row r="240">
      <c r="A240" s="267" t="n"/>
      <c r="B240" s="267" t="n"/>
      <c r="C240" s="267" t="n"/>
      <c r="D240" s="267" t="n"/>
      <c r="E240" s="267" t="n"/>
      <c r="F240" s="267" t="n"/>
      <c r="G240" s="268" t="n"/>
      <c r="H240" s="268" t="n"/>
      <c r="I240" s="109" t="n"/>
      <c r="J240" s="268" t="n"/>
    </row>
    <row r="241">
      <c r="A241" s="267" t="n"/>
      <c r="B241" s="267" t="n"/>
      <c r="C241" s="267" t="n"/>
      <c r="D241" s="267" t="n"/>
      <c r="E241" s="267" t="n"/>
      <c r="F241" s="267" t="n"/>
      <c r="G241" s="268" t="n"/>
      <c r="H241" s="268" t="n"/>
      <c r="I241" s="109" t="n"/>
      <c r="J241" s="268" t="n"/>
    </row>
    <row r="242">
      <c r="A242" s="267" t="n"/>
      <c r="B242" s="267" t="n"/>
      <c r="C242" s="267" t="n"/>
      <c r="D242" s="267" t="n"/>
      <c r="E242" s="267" t="n"/>
      <c r="F242" s="267" t="n"/>
      <c r="G242" s="268" t="n"/>
      <c r="H242" s="268" t="n"/>
      <c r="I242" s="109" t="n"/>
      <c r="J242" s="268" t="n"/>
    </row>
    <row r="243">
      <c r="A243" s="267" t="n"/>
      <c r="B243" s="267" t="n"/>
      <c r="C243" s="267" t="n"/>
      <c r="D243" s="267" t="n"/>
      <c r="E243" s="267" t="n"/>
      <c r="F243" s="267" t="n"/>
      <c r="G243" s="268" t="n"/>
      <c r="H243" s="268" t="n"/>
      <c r="I243" s="109" t="n"/>
      <c r="J243" s="268" t="n"/>
    </row>
    <row r="244">
      <c r="A244" s="267" t="n"/>
      <c r="B244" s="267" t="n"/>
      <c r="C244" s="267" t="n"/>
      <c r="D244" s="267" t="n"/>
      <c r="E244" s="267" t="n"/>
      <c r="F244" s="267" t="n"/>
      <c r="G244" s="268" t="n"/>
      <c r="H244" s="268" t="n"/>
      <c r="I244" s="109" t="n"/>
      <c r="J244" s="268" t="n"/>
    </row>
    <row r="245">
      <c r="A245" s="267" t="n"/>
      <c r="B245" s="267" t="n"/>
      <c r="C245" s="267" t="n"/>
      <c r="D245" s="267" t="n"/>
      <c r="E245" s="267" t="n"/>
      <c r="F245" s="267" t="n"/>
      <c r="G245" s="268" t="n"/>
      <c r="H245" s="268" t="n"/>
      <c r="I245" s="109" t="n"/>
      <c r="J245" s="268" t="n"/>
    </row>
    <row r="246">
      <c r="A246" s="267" t="n"/>
      <c r="B246" s="267" t="n"/>
      <c r="C246" s="267" t="n"/>
      <c r="D246" s="267" t="n"/>
      <c r="E246" s="267" t="n"/>
      <c r="F246" s="267" t="n"/>
      <c r="G246" s="268" t="n"/>
      <c r="H246" s="268" t="n"/>
      <c r="I246" s="109" t="n"/>
      <c r="J246" s="268" t="n"/>
    </row>
    <row r="247">
      <c r="A247" s="267" t="n"/>
      <c r="B247" s="267" t="n"/>
      <c r="C247" s="267" t="n"/>
      <c r="D247" s="267" t="n"/>
      <c r="E247" s="267" t="n"/>
      <c r="F247" s="267" t="n"/>
      <c r="G247" s="268" t="n"/>
      <c r="H247" s="268" t="n"/>
      <c r="I247" s="109" t="n"/>
      <c r="J247" s="268" t="n"/>
    </row>
    <row r="248">
      <c r="A248" s="267" t="n"/>
      <c r="B248" s="267" t="n"/>
      <c r="C248" s="267" t="n"/>
      <c r="D248" s="267" t="n"/>
      <c r="E248" s="267" t="n"/>
      <c r="F248" s="267" t="n"/>
      <c r="G248" s="268" t="n"/>
      <c r="H248" s="268" t="n"/>
      <c r="I248" s="109" t="n"/>
      <c r="J248" s="268" t="n"/>
    </row>
    <row r="249">
      <c r="A249" s="267" t="n"/>
      <c r="B249" s="267" t="n"/>
      <c r="C249" s="267" t="n"/>
      <c r="D249" s="267" t="n"/>
      <c r="E249" s="267" t="n"/>
      <c r="F249" s="267" t="n"/>
      <c r="G249" s="268" t="n"/>
      <c r="H249" s="268" t="n"/>
      <c r="I249" s="109" t="n"/>
      <c r="J249" s="268" t="n"/>
    </row>
    <row r="250">
      <c r="A250" s="267" t="n"/>
      <c r="B250" s="267" t="n"/>
      <c r="C250" s="267" t="n"/>
      <c r="D250" s="267" t="n"/>
      <c r="E250" s="267" t="n"/>
      <c r="F250" s="267" t="n"/>
      <c r="G250" s="268" t="n"/>
      <c r="H250" s="268" t="n"/>
      <c r="I250" s="109" t="n"/>
      <c r="J250" s="268" t="n"/>
    </row>
    <row r="251">
      <c r="A251" s="267" t="n"/>
      <c r="B251" s="267" t="n"/>
      <c r="C251" s="267" t="n"/>
      <c r="D251" s="267" t="n"/>
      <c r="E251" s="267" t="n"/>
      <c r="F251" s="267" t="n"/>
      <c r="G251" s="268" t="n"/>
      <c r="H251" s="268" t="n"/>
      <c r="I251" s="109" t="n"/>
      <c r="J251" s="268" t="n"/>
    </row>
    <row r="252">
      <c r="A252" s="267" t="n"/>
      <c r="B252" s="267" t="n"/>
      <c r="C252" s="267" t="n"/>
      <c r="D252" s="267" t="n"/>
      <c r="E252" s="267" t="n"/>
      <c r="F252" s="267" t="n"/>
      <c r="G252" s="268" t="n"/>
      <c r="H252" s="268" t="n"/>
      <c r="I252" s="109" t="n"/>
      <c r="J252" s="268" t="n"/>
    </row>
    <row r="253">
      <c r="A253" s="267" t="n"/>
      <c r="B253" s="267" t="n"/>
      <c r="C253" s="267" t="n"/>
      <c r="D253" s="267" t="n"/>
      <c r="E253" s="267" t="n"/>
      <c r="F253" s="267" t="n"/>
      <c r="G253" s="268" t="n"/>
      <c r="H253" s="268" t="n"/>
      <c r="I253" s="109" t="n"/>
      <c r="J253" s="268" t="n"/>
    </row>
    <row r="254">
      <c r="A254" s="267" t="n"/>
      <c r="B254" s="267" t="n"/>
      <c r="C254" s="267" t="n"/>
      <c r="D254" s="267" t="n"/>
      <c r="E254" s="267" t="n"/>
      <c r="F254" s="267" t="n"/>
      <c r="G254" s="268" t="n"/>
      <c r="H254" s="268" t="n"/>
      <c r="I254" s="109" t="n"/>
      <c r="J254" s="268" t="n"/>
    </row>
    <row r="255">
      <c r="A255" s="267" t="n"/>
      <c r="B255" s="267" t="n"/>
      <c r="C255" s="267" t="n"/>
      <c r="D255" s="267" t="n"/>
      <c r="E255" s="267" t="n"/>
      <c r="F255" s="267" t="n"/>
      <c r="G255" s="268" t="n"/>
      <c r="H255" s="268" t="n"/>
      <c r="I255" s="109" t="n"/>
      <c r="J255" s="268" t="n"/>
    </row>
    <row r="256">
      <c r="A256" s="267" t="n"/>
      <c r="B256" s="267" t="n"/>
      <c r="C256" s="267" t="n"/>
      <c r="D256" s="267" t="n"/>
      <c r="E256" s="267" t="n"/>
      <c r="F256" s="267" t="n"/>
      <c r="G256" s="268" t="n"/>
      <c r="H256" s="268" t="n"/>
      <c r="I256" s="109" t="n"/>
      <c r="J256" s="268" t="n"/>
    </row>
    <row r="257">
      <c r="A257" s="267" t="n"/>
      <c r="B257" s="267" t="n"/>
      <c r="C257" s="267" t="n"/>
      <c r="D257" s="267" t="n"/>
      <c r="E257" s="267" t="n"/>
      <c r="F257" s="267" t="n"/>
      <c r="G257" s="268" t="n"/>
      <c r="H257" s="268" t="n"/>
      <c r="I257" s="109" t="n"/>
      <c r="J257" s="268" t="n"/>
    </row>
    <row r="258">
      <c r="A258" s="267" t="n"/>
      <c r="B258" s="267" t="n"/>
      <c r="C258" s="267" t="n"/>
      <c r="D258" s="267" t="n"/>
      <c r="E258" s="267" t="n"/>
      <c r="F258" s="267" t="n"/>
      <c r="G258" s="268" t="n"/>
      <c r="H258" s="268" t="n"/>
      <c r="I258" s="109" t="n"/>
      <c r="J258" s="268" t="n"/>
    </row>
    <row r="259">
      <c r="A259" s="267" t="n"/>
      <c r="B259" s="267" t="n"/>
      <c r="C259" s="267" t="n"/>
      <c r="D259" s="267" t="n"/>
      <c r="E259" s="267" t="n"/>
      <c r="F259" s="267" t="n"/>
      <c r="G259" s="268" t="n"/>
      <c r="H259" s="268" t="n"/>
      <c r="I259" s="109" t="n"/>
      <c r="J259" s="268" t="n"/>
    </row>
    <row r="260">
      <c r="A260" s="267" t="n"/>
      <c r="B260" s="267" t="n"/>
      <c r="C260" s="267" t="n"/>
      <c r="D260" s="267" t="n"/>
      <c r="E260" s="267" t="n"/>
      <c r="F260" s="267" t="n"/>
      <c r="G260" s="268" t="n"/>
      <c r="H260" s="268" t="n"/>
      <c r="I260" s="109" t="n"/>
      <c r="J260" s="268" t="n"/>
    </row>
    <row r="261">
      <c r="A261" s="267" t="n"/>
      <c r="B261" s="267" t="n"/>
      <c r="C261" s="267" t="n"/>
      <c r="D261" s="267" t="n"/>
      <c r="E261" s="267" t="n"/>
      <c r="F261" s="267" t="n"/>
      <c r="G261" s="268" t="n"/>
      <c r="H261" s="268" t="n"/>
      <c r="I261" s="109" t="n"/>
      <c r="J261" s="268" t="n"/>
    </row>
    <row r="262">
      <c r="A262" s="267" t="n"/>
      <c r="B262" s="267" t="n"/>
      <c r="C262" s="267" t="n"/>
      <c r="D262" s="267" t="n"/>
      <c r="E262" s="267" t="n"/>
      <c r="F262" s="267" t="n"/>
      <c r="G262" s="268" t="n"/>
      <c r="H262" s="268" t="n"/>
      <c r="I262" s="109" t="n"/>
      <c r="J262" s="268" t="n"/>
    </row>
    <row r="263">
      <c r="A263" s="267" t="n"/>
      <c r="B263" s="267" t="n"/>
      <c r="C263" s="267" t="n"/>
      <c r="D263" s="267" t="n"/>
      <c r="E263" s="267" t="n"/>
      <c r="F263" s="267" t="n"/>
      <c r="G263" s="268" t="n"/>
      <c r="H263" s="268" t="n"/>
      <c r="I263" s="109" t="n"/>
      <c r="J263" s="268" t="n"/>
    </row>
    <row r="264">
      <c r="A264" s="267" t="n"/>
      <c r="B264" s="267" t="n"/>
      <c r="C264" s="267" t="n"/>
      <c r="D264" s="267" t="n"/>
      <c r="E264" s="267" t="n"/>
      <c r="F264" s="267" t="n"/>
      <c r="G264" s="268" t="n"/>
      <c r="H264" s="268" t="n"/>
      <c r="I264" s="109" t="n"/>
      <c r="J264" s="268" t="n"/>
    </row>
    <row r="265">
      <c r="A265" s="267" t="n"/>
      <c r="B265" s="267" t="n"/>
      <c r="C265" s="267" t="n"/>
      <c r="D265" s="267" t="n"/>
      <c r="E265" s="267" t="n"/>
      <c r="F265" s="267" t="n"/>
      <c r="G265" s="268" t="n"/>
      <c r="H265" s="268" t="n"/>
      <c r="I265" s="109" t="n"/>
      <c r="J265" s="268" t="n"/>
    </row>
    <row r="266">
      <c r="A266" s="267" t="n"/>
      <c r="B266" s="267" t="n"/>
      <c r="C266" s="267" t="n"/>
      <c r="D266" s="267" t="n"/>
      <c r="E266" s="267" t="n"/>
      <c r="F266" s="267" t="n"/>
      <c r="G266" s="268" t="n"/>
      <c r="H266" s="268" t="n"/>
      <c r="I266" s="109" t="n"/>
      <c r="J266" s="268" t="n"/>
    </row>
    <row r="267">
      <c r="A267" s="267" t="n"/>
      <c r="B267" s="267" t="n"/>
      <c r="C267" s="267" t="n"/>
      <c r="D267" s="267" t="n"/>
      <c r="E267" s="267" t="n"/>
      <c r="F267" s="267" t="n"/>
      <c r="G267" s="268" t="n"/>
      <c r="H267" s="268" t="n"/>
      <c r="I267" s="109" t="n"/>
      <c r="J267" s="268" t="n"/>
    </row>
    <row r="268">
      <c r="A268" s="267" t="n"/>
      <c r="B268" s="267" t="n"/>
      <c r="C268" s="267" t="n"/>
      <c r="D268" s="267" t="n"/>
      <c r="E268" s="267" t="n"/>
      <c r="F268" s="267" t="n"/>
      <c r="G268" s="268" t="n"/>
      <c r="H268" s="268" t="n"/>
      <c r="I268" s="109" t="n"/>
      <c r="J268" s="268" t="n"/>
    </row>
    <row r="269">
      <c r="A269" s="267" t="n"/>
      <c r="B269" s="267" t="n"/>
      <c r="C269" s="267" t="n"/>
      <c r="D269" s="267" t="n"/>
      <c r="E269" s="267" t="n"/>
      <c r="F269" s="267" t="n"/>
      <c r="G269" s="268" t="n"/>
      <c r="H269" s="268" t="n"/>
      <c r="I269" s="109" t="n"/>
      <c r="J269" s="268" t="n"/>
    </row>
    <row r="270">
      <c r="A270" s="267" t="n"/>
      <c r="B270" s="267" t="n"/>
      <c r="C270" s="267" t="n"/>
      <c r="D270" s="267" t="n"/>
      <c r="E270" s="267" t="n"/>
      <c r="F270" s="267" t="n"/>
      <c r="G270" s="268" t="n"/>
      <c r="H270" s="268" t="n"/>
      <c r="I270" s="109" t="n"/>
      <c r="J270" s="268" t="n"/>
    </row>
    <row r="271">
      <c r="A271" s="267" t="n"/>
      <c r="B271" s="267" t="n"/>
      <c r="C271" s="267" t="n"/>
      <c r="D271" s="267" t="n"/>
      <c r="E271" s="267" t="n"/>
      <c r="F271" s="267" t="n"/>
      <c r="G271" s="268" t="n"/>
      <c r="H271" s="268" t="n"/>
      <c r="I271" s="109" t="n"/>
      <c r="J271" s="268" t="n"/>
    </row>
    <row r="272">
      <c r="A272" s="267" t="n"/>
      <c r="B272" s="267" t="n"/>
      <c r="C272" s="267" t="n"/>
      <c r="D272" s="267" t="n"/>
      <c r="E272" s="267" t="n"/>
      <c r="F272" s="267" t="n"/>
      <c r="G272" s="268" t="n"/>
      <c r="H272" s="268" t="n"/>
      <c r="I272" s="109" t="n"/>
      <c r="J272" s="268" t="n"/>
    </row>
    <row r="273">
      <c r="A273" s="267" t="n"/>
      <c r="B273" s="267" t="n"/>
      <c r="C273" s="267" t="n"/>
      <c r="D273" s="267" t="n"/>
      <c r="E273" s="267" t="n"/>
      <c r="F273" s="267" t="n"/>
      <c r="G273" s="268" t="n"/>
      <c r="H273" s="268" t="n"/>
      <c r="I273" s="109" t="n"/>
      <c r="J273" s="268" t="n"/>
    </row>
    <row r="274">
      <c r="A274" s="267" t="n"/>
      <c r="B274" s="267" t="n"/>
      <c r="C274" s="267" t="n"/>
      <c r="D274" s="267" t="n"/>
      <c r="E274" s="267" t="n"/>
      <c r="F274" s="267" t="n"/>
      <c r="G274" s="268" t="n"/>
      <c r="H274" s="268" t="n"/>
      <c r="I274" s="109" t="n"/>
      <c r="J274" s="268" t="n"/>
    </row>
    <row r="275">
      <c r="A275" s="267" t="n"/>
      <c r="B275" s="267" t="n"/>
      <c r="C275" s="267" t="n"/>
      <c r="D275" s="267" t="n"/>
      <c r="E275" s="267" t="n"/>
      <c r="F275" s="267" t="n"/>
      <c r="G275" s="268" t="n"/>
      <c r="H275" s="268" t="n"/>
      <c r="I275" s="109" t="n"/>
      <c r="J275" s="268" t="n"/>
    </row>
    <row r="276">
      <c r="A276" s="267" t="n"/>
      <c r="B276" s="267" t="n"/>
      <c r="C276" s="267" t="n"/>
      <c r="D276" s="267" t="n"/>
      <c r="E276" s="267" t="n"/>
      <c r="F276" s="267" t="n"/>
      <c r="G276" s="268" t="n"/>
      <c r="H276" s="268" t="n"/>
      <c r="I276" s="109" t="n"/>
      <c r="J276" s="268" t="n"/>
    </row>
    <row r="277">
      <c r="A277" s="267" t="n"/>
      <c r="B277" s="267" t="n"/>
      <c r="C277" s="267" t="n"/>
      <c r="D277" s="267" t="n"/>
      <c r="E277" s="267" t="n"/>
      <c r="F277" s="267" t="n"/>
      <c r="G277" s="268" t="n"/>
      <c r="H277" s="268" t="n"/>
      <c r="I277" s="109" t="n"/>
      <c r="J277" s="268" t="n"/>
    </row>
    <row r="278">
      <c r="A278" s="267" t="n"/>
      <c r="B278" s="267" t="n"/>
      <c r="C278" s="267" t="n"/>
      <c r="D278" s="267" t="n"/>
      <c r="E278" s="267" t="n"/>
      <c r="F278" s="267" t="n"/>
      <c r="G278" s="268" t="n"/>
      <c r="H278" s="268" t="n"/>
      <c r="I278" s="109" t="n"/>
      <c r="J278" s="268" t="n"/>
    </row>
    <row r="279">
      <c r="A279" s="267" t="n"/>
      <c r="B279" s="267" t="n"/>
      <c r="C279" s="267" t="n"/>
      <c r="D279" s="267" t="n"/>
      <c r="E279" s="267" t="n"/>
      <c r="F279" s="267" t="n"/>
      <c r="G279" s="268" t="n"/>
      <c r="H279" s="268" t="n"/>
      <c r="I279" s="109" t="n"/>
      <c r="J279" s="268" t="n"/>
    </row>
    <row r="280">
      <c r="A280" s="267" t="n"/>
      <c r="B280" s="267" t="n"/>
      <c r="C280" s="267" t="n"/>
      <c r="D280" s="267" t="n"/>
      <c r="E280" s="267" t="n"/>
      <c r="F280" s="267" t="n"/>
      <c r="G280" s="268" t="n"/>
      <c r="H280" s="268" t="n"/>
      <c r="I280" s="109" t="n"/>
      <c r="J280" s="268" t="n"/>
    </row>
    <row r="281">
      <c r="A281" s="267" t="n"/>
      <c r="B281" s="267" t="n"/>
      <c r="C281" s="267" t="n"/>
      <c r="D281" s="267" t="n"/>
      <c r="E281" s="267" t="n"/>
      <c r="F281" s="267" t="n"/>
      <c r="G281" s="268" t="n"/>
      <c r="H281" s="268" t="n"/>
      <c r="I281" s="109" t="n"/>
      <c r="J281" s="268" t="n"/>
    </row>
    <row r="282">
      <c r="A282" s="267" t="n"/>
      <c r="B282" s="267" t="n"/>
      <c r="C282" s="267" t="n"/>
      <c r="D282" s="267" t="n"/>
      <c r="E282" s="267" t="n"/>
      <c r="F282" s="267" t="n"/>
      <c r="G282" s="268" t="n"/>
      <c r="H282" s="268" t="n"/>
      <c r="I282" s="109" t="n"/>
      <c r="J282" s="268" t="n"/>
    </row>
    <row r="283">
      <c r="A283" s="267" t="n"/>
      <c r="B283" s="267" t="n"/>
      <c r="C283" s="267" t="n"/>
      <c r="D283" s="267" t="n"/>
      <c r="E283" s="267" t="n"/>
      <c r="F283" s="267" t="n"/>
      <c r="G283" s="268" t="n"/>
      <c r="H283" s="268" t="n"/>
      <c r="I283" s="109" t="n"/>
      <c r="J283" s="268" t="n"/>
    </row>
    <row r="284">
      <c r="A284" s="267" t="n"/>
      <c r="B284" s="267" t="n"/>
      <c r="C284" s="267" t="n"/>
      <c r="D284" s="267" t="n"/>
      <c r="E284" s="267" t="n"/>
      <c r="F284" s="267" t="n"/>
      <c r="G284" s="268" t="n"/>
      <c r="H284" s="268" t="n"/>
      <c r="I284" s="109" t="n"/>
      <c r="J284" s="268" t="n"/>
    </row>
    <row r="285">
      <c r="A285" s="267" t="n"/>
      <c r="B285" s="267" t="n"/>
      <c r="C285" s="267" t="n"/>
      <c r="D285" s="267" t="n"/>
      <c r="E285" s="267" t="n"/>
      <c r="F285" s="267" t="n"/>
      <c r="G285" s="268" t="n"/>
      <c r="H285" s="268" t="n"/>
      <c r="I285" s="109" t="n"/>
      <c r="J285" s="268" t="n"/>
    </row>
    <row r="286">
      <c r="A286" s="267" t="n"/>
      <c r="B286" s="267" t="n"/>
      <c r="C286" s="267" t="n"/>
      <c r="D286" s="267" t="n"/>
      <c r="E286" s="267" t="n"/>
      <c r="F286" s="267" t="n"/>
      <c r="G286" s="268" t="n"/>
      <c r="H286" s="268" t="n"/>
      <c r="I286" s="109" t="n"/>
      <c r="J286" s="268" t="n"/>
    </row>
    <row r="287">
      <c r="A287" s="267" t="n"/>
      <c r="B287" s="267" t="n"/>
      <c r="C287" s="267" t="n"/>
      <c r="D287" s="267" t="n"/>
      <c r="E287" s="267" t="n"/>
      <c r="F287" s="267" t="n"/>
      <c r="G287" s="268" t="n"/>
      <c r="H287" s="268" t="n"/>
      <c r="I287" s="109" t="n"/>
      <c r="J287" s="268" t="n"/>
    </row>
    <row r="288">
      <c r="A288" s="267" t="n"/>
      <c r="B288" s="267" t="n"/>
      <c r="C288" s="267" t="n"/>
      <c r="D288" s="267" t="n"/>
      <c r="E288" s="267" t="n"/>
      <c r="F288" s="267" t="n"/>
      <c r="G288" s="268" t="n"/>
      <c r="H288" s="268" t="n"/>
      <c r="I288" s="109" t="n"/>
      <c r="J288" s="268" t="n"/>
    </row>
    <row r="289">
      <c r="A289" s="267" t="n"/>
      <c r="B289" s="267" t="n"/>
      <c r="C289" s="267" t="n"/>
      <c r="D289" s="267" t="n"/>
      <c r="E289" s="267" t="n"/>
      <c r="F289" s="267" t="n"/>
      <c r="G289" s="268" t="n"/>
      <c r="H289" s="268" t="n"/>
      <c r="I289" s="109" t="n"/>
      <c r="J289" s="268" t="n"/>
    </row>
    <row r="290">
      <c r="A290" s="267" t="n"/>
      <c r="B290" s="267" t="n"/>
      <c r="C290" s="267" t="n"/>
      <c r="D290" s="267" t="n"/>
      <c r="E290" s="267" t="n"/>
      <c r="F290" s="267" t="n"/>
      <c r="G290" s="268" t="n"/>
      <c r="H290" s="268" t="n"/>
      <c r="I290" s="109" t="n"/>
      <c r="J290" s="268" t="n"/>
    </row>
    <row r="291">
      <c r="A291" s="267" t="n"/>
      <c r="B291" s="267" t="n"/>
      <c r="C291" s="267" t="n"/>
      <c r="D291" s="267" t="n"/>
      <c r="E291" s="267" t="n"/>
      <c r="F291" s="267" t="n"/>
      <c r="G291" s="268" t="n"/>
      <c r="H291" s="268" t="n"/>
      <c r="I291" s="109" t="n"/>
      <c r="J291" s="268" t="n"/>
    </row>
    <row r="292">
      <c r="A292" s="267" t="n"/>
      <c r="B292" s="267" t="n"/>
      <c r="C292" s="267" t="n"/>
      <c r="D292" s="267" t="n"/>
      <c r="E292" s="267" t="n"/>
      <c r="F292" s="267" t="n"/>
      <c r="G292" s="268" t="n"/>
      <c r="H292" s="268" t="n"/>
      <c r="I292" s="109" t="n"/>
      <c r="J292" s="268" t="n"/>
    </row>
    <row r="293">
      <c r="A293" s="267" t="n"/>
      <c r="B293" s="267" t="n"/>
      <c r="C293" s="267" t="n"/>
      <c r="D293" s="267" t="n"/>
      <c r="E293" s="267" t="n"/>
      <c r="F293" s="267" t="n"/>
      <c r="G293" s="268" t="n"/>
      <c r="H293" s="268" t="n"/>
      <c r="I293" s="109" t="n"/>
      <c r="J293" s="268" t="n"/>
    </row>
    <row r="294">
      <c r="A294" s="267" t="n"/>
      <c r="B294" s="267" t="n"/>
      <c r="C294" s="267" t="n"/>
      <c r="D294" s="267" t="n"/>
      <c r="E294" s="267" t="n"/>
      <c r="F294" s="267" t="n"/>
      <c r="G294" s="268" t="n"/>
      <c r="H294" s="268" t="n"/>
      <c r="I294" s="109" t="n"/>
      <c r="J294" s="268" t="n"/>
    </row>
    <row r="295">
      <c r="A295" s="267" t="n"/>
      <c r="B295" s="267" t="n"/>
      <c r="C295" s="267" t="n"/>
      <c r="D295" s="267" t="n"/>
      <c r="E295" s="267" t="n"/>
      <c r="F295" s="267" t="n"/>
      <c r="G295" s="268" t="n"/>
      <c r="H295" s="268" t="n"/>
      <c r="I295" s="109" t="n"/>
      <c r="J295" s="268" t="n"/>
    </row>
    <row r="296">
      <c r="A296" s="267" t="n"/>
      <c r="B296" s="267" t="n"/>
      <c r="C296" s="267" t="n"/>
      <c r="D296" s="267" t="n"/>
      <c r="E296" s="267" t="n"/>
      <c r="F296" s="267" t="n"/>
      <c r="G296" s="268" t="n"/>
      <c r="H296" s="268" t="n"/>
      <c r="I296" s="109" t="n"/>
      <c r="J296" s="268" t="n"/>
    </row>
    <row r="297">
      <c r="A297" s="267" t="n"/>
      <c r="B297" s="267" t="n"/>
      <c r="C297" s="267" t="n"/>
      <c r="D297" s="267" t="n"/>
      <c r="E297" s="267" t="n"/>
      <c r="F297" s="267" t="n"/>
      <c r="G297" s="268" t="n"/>
      <c r="H297" s="268" t="n"/>
      <c r="I297" s="109" t="n"/>
      <c r="J297" s="268" t="n"/>
    </row>
    <row r="298">
      <c r="A298" s="267" t="n"/>
      <c r="B298" s="267" t="n"/>
      <c r="C298" s="267" t="n"/>
      <c r="D298" s="267" t="n"/>
      <c r="E298" s="267" t="n"/>
      <c r="F298" s="267" t="n"/>
      <c r="G298" s="268" t="n"/>
      <c r="H298" s="268" t="n"/>
      <c r="I298" s="109" t="n"/>
      <c r="J298" s="268" t="n"/>
    </row>
    <row r="299">
      <c r="A299" s="267" t="n"/>
      <c r="B299" s="267" t="n"/>
      <c r="C299" s="267" t="n"/>
      <c r="D299" s="267" t="n"/>
      <c r="E299" s="267" t="n"/>
      <c r="F299" s="267" t="n"/>
      <c r="G299" s="268" t="n"/>
      <c r="H299" s="268" t="n"/>
      <c r="I299" s="109" t="n"/>
      <c r="J299" s="268" t="n"/>
    </row>
    <row r="300">
      <c r="A300" s="267" t="n"/>
      <c r="B300" s="267" t="n"/>
      <c r="C300" s="267" t="n"/>
      <c r="D300" s="267" t="n"/>
      <c r="E300" s="267" t="n"/>
      <c r="F300" s="267" t="n"/>
      <c r="G300" s="268" t="n"/>
      <c r="H300" s="268" t="n"/>
      <c r="I300" s="109" t="n"/>
      <c r="J300" s="268" t="n"/>
    </row>
    <row r="301">
      <c r="A301" s="267" t="n"/>
      <c r="B301" s="267" t="n"/>
      <c r="C301" s="267" t="n"/>
      <c r="D301" s="267" t="n"/>
      <c r="E301" s="267" t="n"/>
      <c r="F301" s="267" t="n"/>
      <c r="G301" s="268" t="n"/>
      <c r="H301" s="268" t="n"/>
      <c r="I301" s="109" t="n"/>
      <c r="J301" s="268" t="n"/>
    </row>
    <row r="302">
      <c r="A302" s="267" t="n"/>
      <c r="B302" s="267" t="n"/>
      <c r="C302" s="267" t="n"/>
      <c r="D302" s="267" t="n"/>
      <c r="E302" s="267" t="n"/>
      <c r="F302" s="267" t="n"/>
      <c r="G302" s="268" t="n"/>
      <c r="H302" s="268" t="n"/>
      <c r="I302" s="109" t="n"/>
      <c r="J302" s="268" t="n"/>
    </row>
    <row r="303">
      <c r="A303" s="267" t="n"/>
      <c r="B303" s="267" t="n"/>
      <c r="C303" s="267" t="n"/>
      <c r="D303" s="267" t="n"/>
      <c r="E303" s="267" t="n"/>
      <c r="F303" s="267" t="n"/>
      <c r="G303" s="268" t="n"/>
      <c r="H303" s="268" t="n"/>
      <c r="I303" s="109" t="n"/>
      <c r="J303" s="268" t="n"/>
    </row>
    <row r="304">
      <c r="A304" s="267" t="n"/>
      <c r="B304" s="267" t="n"/>
      <c r="C304" s="267" t="n"/>
      <c r="D304" s="267" t="n"/>
      <c r="E304" s="267" t="n"/>
      <c r="F304" s="267" t="n"/>
      <c r="G304" s="268" t="n"/>
      <c r="H304" s="268" t="n"/>
      <c r="I304" s="109" t="n"/>
      <c r="J304" s="268" t="n"/>
    </row>
    <row r="305">
      <c r="A305" s="267" t="n"/>
      <c r="B305" s="267" t="n"/>
      <c r="C305" s="267" t="n"/>
      <c r="D305" s="267" t="n"/>
      <c r="E305" s="267" t="n"/>
      <c r="F305" s="267" t="n"/>
      <c r="G305" s="268" t="n"/>
      <c r="H305" s="268" t="n"/>
      <c r="I305" s="109" t="n"/>
      <c r="J305" s="268" t="n"/>
    </row>
    <row r="306">
      <c r="A306" s="267" t="n"/>
      <c r="B306" s="267" t="n"/>
      <c r="C306" s="267" t="n"/>
      <c r="D306" s="267" t="n"/>
      <c r="E306" s="267" t="n"/>
      <c r="F306" s="267" t="n"/>
      <c r="G306" s="268" t="n"/>
      <c r="H306" s="268" t="n"/>
      <c r="I306" s="109" t="n"/>
      <c r="J306" s="268" t="n"/>
    </row>
    <row r="307">
      <c r="A307" s="267" t="n"/>
      <c r="B307" s="267" t="n"/>
      <c r="C307" s="267" t="n"/>
      <c r="D307" s="267" t="n"/>
      <c r="E307" s="267" t="n"/>
      <c r="F307" s="267" t="n"/>
      <c r="G307" s="268" t="n"/>
      <c r="H307" s="268" t="n"/>
      <c r="I307" s="109" t="n"/>
      <c r="J307" s="268" t="n"/>
    </row>
    <row r="308">
      <c r="A308" s="267" t="n"/>
      <c r="B308" s="267" t="n"/>
      <c r="C308" s="267" t="n"/>
      <c r="D308" s="267" t="n"/>
      <c r="E308" s="267" t="n"/>
      <c r="F308" s="267" t="n"/>
      <c r="G308" s="268" t="n"/>
      <c r="H308" s="268" t="n"/>
      <c r="I308" s="109" t="n"/>
      <c r="J308" s="268" t="n"/>
    </row>
    <row r="309">
      <c r="A309" s="267" t="n"/>
      <c r="B309" s="267" t="n"/>
      <c r="C309" s="267" t="n"/>
      <c r="D309" s="267" t="n"/>
      <c r="E309" s="267" t="n"/>
      <c r="F309" s="267" t="n"/>
      <c r="G309" s="268" t="n"/>
      <c r="H309" s="268" t="n"/>
      <c r="I309" s="109" t="n"/>
      <c r="J309" s="268" t="n"/>
    </row>
    <row r="310">
      <c r="A310" s="267" t="n"/>
      <c r="B310" s="267" t="n"/>
      <c r="C310" s="267" t="n"/>
      <c r="D310" s="267" t="n"/>
      <c r="E310" s="267" t="n"/>
      <c r="F310" s="267" t="n"/>
      <c r="G310" s="268" t="n"/>
      <c r="H310" s="268" t="n"/>
      <c r="I310" s="109" t="n"/>
      <c r="J310" s="268" t="n"/>
    </row>
    <row r="311">
      <c r="A311" s="267" t="n"/>
      <c r="B311" s="267" t="n"/>
      <c r="C311" s="267" t="n"/>
      <c r="D311" s="267" t="n"/>
      <c r="E311" s="267" t="n"/>
      <c r="F311" s="267" t="n"/>
      <c r="G311" s="268" t="n"/>
      <c r="H311" s="268" t="n"/>
      <c r="I311" s="109" t="n"/>
      <c r="J311" s="268" t="n"/>
    </row>
    <row r="312">
      <c r="A312" s="267" t="n"/>
      <c r="B312" s="267" t="n"/>
      <c r="C312" s="267" t="n"/>
      <c r="D312" s="267" t="n"/>
      <c r="E312" s="267" t="n"/>
      <c r="F312" s="267" t="n"/>
      <c r="G312" s="268" t="n"/>
      <c r="H312" s="268" t="n"/>
      <c r="I312" s="109" t="n"/>
      <c r="J312" s="268" t="n"/>
    </row>
    <row r="313">
      <c r="A313" s="267" t="n"/>
      <c r="B313" s="267" t="n"/>
      <c r="C313" s="267" t="n"/>
      <c r="D313" s="267" t="n"/>
      <c r="E313" s="267" t="n"/>
      <c r="F313" s="267" t="n"/>
      <c r="G313" s="268" t="n"/>
      <c r="H313" s="268" t="n"/>
      <c r="I313" s="109" t="n"/>
      <c r="J313" s="268" t="n"/>
    </row>
    <row r="314">
      <c r="A314" s="267" t="n"/>
      <c r="B314" s="267" t="n"/>
      <c r="C314" s="267" t="n"/>
      <c r="D314" s="267" t="n"/>
      <c r="E314" s="267" t="n"/>
      <c r="F314" s="267" t="n"/>
      <c r="G314" s="268" t="n"/>
      <c r="H314" s="268" t="n"/>
      <c r="I314" s="109" t="n"/>
      <c r="J314" s="268" t="n"/>
    </row>
    <row r="315">
      <c r="A315" s="267" t="n"/>
      <c r="B315" s="267" t="n"/>
      <c r="C315" s="267" t="n"/>
      <c r="D315" s="267" t="n"/>
      <c r="E315" s="267" t="n"/>
      <c r="F315" s="267" t="n"/>
      <c r="G315" s="268" t="n"/>
      <c r="H315" s="268" t="n"/>
      <c r="I315" s="109" t="n"/>
      <c r="J315" s="268" t="n"/>
    </row>
    <row r="316">
      <c r="A316" s="267" t="n"/>
      <c r="B316" s="267" t="n"/>
      <c r="C316" s="267" t="n"/>
      <c r="D316" s="267" t="n"/>
      <c r="E316" s="267" t="n"/>
      <c r="F316" s="267" t="n"/>
      <c r="G316" s="268" t="n"/>
      <c r="H316" s="268" t="n"/>
      <c r="I316" s="109" t="n"/>
      <c r="J316" s="268" t="n"/>
    </row>
    <row r="317">
      <c r="A317" s="267" t="n"/>
      <c r="B317" s="267" t="n"/>
      <c r="C317" s="267" t="n"/>
      <c r="D317" s="267" t="n"/>
      <c r="E317" s="267" t="n"/>
      <c r="F317" s="267" t="n"/>
      <c r="G317" s="268" t="n"/>
      <c r="H317" s="268" t="n"/>
      <c r="I317" s="109" t="n"/>
      <c r="J317" s="268" t="n"/>
    </row>
    <row r="318">
      <c r="A318" s="267" t="n"/>
      <c r="B318" s="267" t="n"/>
      <c r="C318" s="267" t="n"/>
      <c r="D318" s="267" t="n"/>
      <c r="E318" s="267" t="n"/>
      <c r="F318" s="267" t="n"/>
      <c r="G318" s="268" t="n"/>
      <c r="H318" s="268" t="n"/>
      <c r="I318" s="109" t="n"/>
      <c r="J318" s="268" t="n"/>
    </row>
    <row r="319">
      <c r="A319" s="267" t="n"/>
      <c r="B319" s="267" t="n"/>
      <c r="C319" s="267" t="n"/>
      <c r="D319" s="267" t="n"/>
      <c r="E319" s="267" t="n"/>
      <c r="F319" s="267" t="n"/>
      <c r="G319" s="268" t="n"/>
      <c r="H319" s="268" t="n"/>
      <c r="I319" s="109" t="n"/>
      <c r="J319" s="268" t="n"/>
    </row>
    <row r="320">
      <c r="A320" s="267" t="n"/>
      <c r="B320" s="267" t="n"/>
      <c r="C320" s="267" t="n"/>
      <c r="D320" s="267" t="n"/>
      <c r="E320" s="267" t="n"/>
      <c r="F320" s="267" t="n"/>
      <c r="G320" s="268" t="n"/>
      <c r="H320" s="268" t="n"/>
      <c r="I320" s="109" t="n"/>
      <c r="J320" s="268" t="n"/>
    </row>
    <row r="321">
      <c r="A321" s="267" t="n"/>
      <c r="B321" s="267" t="n"/>
      <c r="C321" s="267" t="n"/>
      <c r="D321" s="267" t="n"/>
      <c r="E321" s="267" t="n"/>
      <c r="F321" s="267" t="n"/>
      <c r="G321" s="268" t="n"/>
      <c r="H321" s="268" t="n"/>
      <c r="I321" s="109" t="n"/>
      <c r="J321" s="268" t="n"/>
    </row>
    <row r="322">
      <c r="A322" s="267" t="n"/>
      <c r="B322" s="267" t="n"/>
      <c r="C322" s="267" t="n"/>
      <c r="D322" s="267" t="n"/>
      <c r="E322" s="267" t="n"/>
      <c r="F322" s="267" t="n"/>
      <c r="G322" s="268" t="n"/>
      <c r="H322" s="268" t="n"/>
      <c r="I322" s="109" t="n"/>
      <c r="J322" s="268" t="n"/>
    </row>
    <row r="323">
      <c r="A323" s="267" t="n"/>
      <c r="B323" s="267" t="n"/>
      <c r="C323" s="267" t="n"/>
      <c r="D323" s="267" t="n"/>
      <c r="E323" s="267" t="n"/>
      <c r="F323" s="267" t="n"/>
      <c r="G323" s="268" t="n"/>
      <c r="H323" s="268" t="n"/>
      <c r="I323" s="109" t="n"/>
      <c r="J323" s="268" t="n"/>
    </row>
    <row r="324">
      <c r="A324" s="267" t="n"/>
      <c r="B324" s="267" t="n"/>
      <c r="C324" s="267" t="n"/>
      <c r="D324" s="267" t="n"/>
      <c r="E324" s="267" t="n"/>
      <c r="F324" s="267" t="n"/>
      <c r="G324" s="268" t="n"/>
      <c r="H324" s="268" t="n"/>
      <c r="I324" s="109" t="n"/>
      <c r="J324" s="268" t="n"/>
    </row>
    <row r="325">
      <c r="A325" s="267" t="n"/>
      <c r="B325" s="267" t="n"/>
      <c r="C325" s="267" t="n"/>
      <c r="D325" s="267" t="n"/>
      <c r="E325" s="267" t="n"/>
      <c r="F325" s="267" t="n"/>
      <c r="G325" s="268" t="n"/>
      <c r="H325" s="268" t="n"/>
      <c r="I325" s="109" t="n"/>
      <c r="J325" s="268" t="n"/>
    </row>
    <row r="326">
      <c r="A326" s="267" t="n"/>
      <c r="B326" s="267" t="n"/>
      <c r="C326" s="267" t="n"/>
      <c r="D326" s="267" t="n"/>
      <c r="E326" s="267" t="n"/>
      <c r="F326" s="267" t="n"/>
      <c r="G326" s="268" t="n"/>
      <c r="H326" s="268" t="n"/>
      <c r="I326" s="109" t="n"/>
      <c r="J326" s="268" t="n"/>
    </row>
    <row r="327">
      <c r="A327" s="267" t="n"/>
      <c r="B327" s="267" t="n"/>
      <c r="C327" s="267" t="n"/>
      <c r="D327" s="267" t="n"/>
      <c r="E327" s="267" t="n"/>
      <c r="F327" s="267" t="n"/>
      <c r="G327" s="268" t="n"/>
      <c r="H327" s="268" t="n"/>
      <c r="I327" s="109" t="n"/>
      <c r="J327" s="268" t="n"/>
    </row>
    <row r="328">
      <c r="A328" s="267" t="n"/>
      <c r="B328" s="267" t="n"/>
      <c r="C328" s="267" t="n"/>
      <c r="D328" s="267" t="n"/>
      <c r="E328" s="267" t="n"/>
      <c r="F328" s="267" t="n"/>
      <c r="G328" s="268" t="n"/>
      <c r="H328" s="268" t="n"/>
      <c r="I328" s="109" t="n"/>
      <c r="J328" s="268" t="n"/>
    </row>
    <row r="329">
      <c r="A329" s="267" t="n"/>
      <c r="B329" s="267" t="n"/>
      <c r="C329" s="267" t="n"/>
      <c r="D329" s="267" t="n"/>
      <c r="E329" s="267" t="n"/>
      <c r="F329" s="267" t="n"/>
      <c r="G329" s="268" t="n"/>
      <c r="H329" s="268" t="n"/>
      <c r="I329" s="109" t="n"/>
      <c r="J329" s="268" t="n"/>
    </row>
    <row r="330">
      <c r="A330" s="267" t="n"/>
      <c r="B330" s="267" t="n"/>
      <c r="C330" s="267" t="n"/>
      <c r="D330" s="267" t="n"/>
      <c r="E330" s="267" t="n"/>
      <c r="F330" s="267" t="n"/>
      <c r="G330" s="268" t="n"/>
      <c r="H330" s="268" t="n"/>
      <c r="I330" s="109" t="n"/>
      <c r="J330" s="268" t="n"/>
    </row>
    <row r="331">
      <c r="A331" s="267" t="n"/>
      <c r="B331" s="267" t="n"/>
      <c r="C331" s="267" t="n"/>
      <c r="D331" s="267" t="n"/>
      <c r="E331" s="267" t="n"/>
      <c r="F331" s="267" t="n"/>
      <c r="G331" s="268" t="n"/>
      <c r="H331" s="268" t="n"/>
      <c r="I331" s="109" t="n"/>
      <c r="J331" s="268" t="n"/>
    </row>
    <row r="332">
      <c r="A332" s="267" t="n"/>
      <c r="B332" s="267" t="n"/>
      <c r="C332" s="267" t="n"/>
      <c r="D332" s="267" t="n"/>
      <c r="E332" s="267" t="n"/>
      <c r="F332" s="267" t="n"/>
      <c r="G332" s="268" t="n"/>
      <c r="H332" s="268" t="n"/>
      <c r="I332" s="109" t="n"/>
      <c r="J332" s="268" t="n"/>
    </row>
    <row r="333">
      <c r="A333" s="267" t="n"/>
      <c r="B333" s="267" t="n"/>
      <c r="C333" s="267" t="n"/>
      <c r="D333" s="267" t="n"/>
      <c r="E333" s="267" t="n"/>
      <c r="F333" s="267" t="n"/>
      <c r="G333" s="268" t="n"/>
      <c r="H333" s="268" t="n"/>
      <c r="I333" s="109" t="n"/>
      <c r="J333" s="268" t="n"/>
    </row>
    <row r="334">
      <c r="A334" s="267" t="n"/>
      <c r="B334" s="267" t="n"/>
      <c r="C334" s="267" t="n"/>
      <c r="D334" s="267" t="n"/>
      <c r="E334" s="267" t="n"/>
      <c r="F334" s="267" t="n"/>
      <c r="G334" s="268" t="n"/>
      <c r="H334" s="268" t="n"/>
      <c r="I334" s="109" t="n"/>
      <c r="J334" s="268" t="n"/>
    </row>
    <row r="335">
      <c r="A335" s="267" t="n"/>
      <c r="B335" s="267" t="n"/>
      <c r="C335" s="267" t="n"/>
      <c r="D335" s="267" t="n"/>
      <c r="E335" s="267" t="n"/>
      <c r="F335" s="267" t="n"/>
      <c r="G335" s="268" t="n"/>
      <c r="H335" s="268" t="n"/>
      <c r="I335" s="109" t="n"/>
      <c r="J335" s="268" t="n"/>
    </row>
    <row r="336">
      <c r="A336" s="267" t="n"/>
      <c r="B336" s="267" t="n"/>
      <c r="C336" s="267" t="n"/>
      <c r="D336" s="267" t="n"/>
      <c r="E336" s="267" t="n"/>
      <c r="F336" s="267" t="n"/>
      <c r="G336" s="268" t="n"/>
      <c r="H336" s="268" t="n"/>
      <c r="I336" s="109" t="n"/>
      <c r="J336" s="268" t="n"/>
    </row>
    <row r="337">
      <c r="A337" s="267" t="n"/>
      <c r="B337" s="267" t="n"/>
      <c r="C337" s="267" t="n"/>
      <c r="D337" s="267" t="n"/>
      <c r="E337" s="267" t="n"/>
      <c r="F337" s="267" t="n"/>
      <c r="G337" s="268" t="n"/>
      <c r="H337" s="268" t="n"/>
      <c r="I337" s="109" t="n"/>
      <c r="J337" s="268" t="n"/>
    </row>
    <row r="338">
      <c r="A338" s="267" t="n"/>
      <c r="B338" s="267" t="n"/>
      <c r="C338" s="267" t="n"/>
      <c r="D338" s="267" t="n"/>
      <c r="E338" s="267" t="n"/>
      <c r="F338" s="267" t="n"/>
      <c r="G338" s="268" t="n"/>
      <c r="H338" s="268" t="n"/>
      <c r="I338" s="109" t="n"/>
      <c r="J338" s="268" t="n"/>
    </row>
    <row r="339">
      <c r="A339" s="267" t="n"/>
      <c r="B339" s="267" t="n"/>
      <c r="C339" s="267" t="n"/>
      <c r="D339" s="267" t="n"/>
      <c r="E339" s="267" t="n"/>
      <c r="F339" s="267" t="n"/>
      <c r="G339" s="268" t="n"/>
      <c r="H339" s="268" t="n"/>
      <c r="I339" s="109" t="n"/>
      <c r="J339" s="268" t="n"/>
    </row>
    <row r="340">
      <c r="A340" s="267" t="n"/>
      <c r="B340" s="267" t="n"/>
      <c r="C340" s="267" t="n"/>
      <c r="D340" s="267" t="n"/>
      <c r="E340" s="267" t="n"/>
      <c r="F340" s="267" t="n"/>
      <c r="G340" s="268" t="n"/>
      <c r="H340" s="268" t="n"/>
      <c r="I340" s="109" t="n"/>
      <c r="J340" s="268" t="n"/>
    </row>
    <row r="341">
      <c r="A341" s="267" t="n"/>
      <c r="B341" s="267" t="n"/>
      <c r="C341" s="267" t="n"/>
      <c r="D341" s="267" t="n"/>
      <c r="E341" s="267" t="n"/>
      <c r="F341" s="267" t="n"/>
      <c r="G341" s="268" t="n"/>
      <c r="H341" s="268" t="n"/>
      <c r="I341" s="109" t="n"/>
      <c r="J341" s="268" t="n"/>
    </row>
    <row r="342">
      <c r="A342" s="267" t="n"/>
      <c r="B342" s="267" t="n"/>
      <c r="C342" s="267" t="n"/>
      <c r="D342" s="267" t="n"/>
      <c r="E342" s="267" t="n"/>
      <c r="F342" s="267" t="n"/>
      <c r="G342" s="268" t="n"/>
      <c r="H342" s="268" t="n"/>
      <c r="I342" s="109" t="n"/>
      <c r="J342" s="268" t="n"/>
    </row>
    <row r="343">
      <c r="A343" s="267" t="n"/>
      <c r="B343" s="267" t="n"/>
      <c r="C343" s="267" t="n"/>
      <c r="D343" s="267" t="n"/>
      <c r="E343" s="267" t="n"/>
      <c r="F343" s="267" t="n"/>
      <c r="G343" s="268" t="n"/>
      <c r="H343" s="268" t="n"/>
      <c r="I343" s="109" t="n"/>
      <c r="J343" s="268" t="n"/>
    </row>
    <row r="344">
      <c r="A344" s="267" t="n"/>
      <c r="B344" s="267" t="n"/>
      <c r="C344" s="267" t="n"/>
      <c r="D344" s="267" t="n"/>
      <c r="E344" s="267" t="n"/>
      <c r="F344" s="267" t="n"/>
      <c r="G344" s="268" t="n"/>
      <c r="H344" s="268" t="n"/>
      <c r="I344" s="109" t="n"/>
      <c r="J344" s="268" t="n"/>
    </row>
    <row r="345">
      <c r="A345" s="267" t="n"/>
      <c r="B345" s="267" t="n"/>
      <c r="C345" s="267" t="n"/>
      <c r="D345" s="267" t="n"/>
      <c r="E345" s="267" t="n"/>
      <c r="F345" s="267" t="n"/>
      <c r="G345" s="268" t="n"/>
      <c r="H345" s="268" t="n"/>
      <c r="I345" s="109" t="n"/>
      <c r="J345" s="268" t="n"/>
    </row>
    <row r="346">
      <c r="A346" s="267" t="n"/>
      <c r="B346" s="267" t="n"/>
      <c r="C346" s="267" t="n"/>
      <c r="D346" s="267" t="n"/>
      <c r="E346" s="267" t="n"/>
      <c r="F346" s="267" t="n"/>
      <c r="G346" s="268" t="n"/>
      <c r="H346" s="268" t="n"/>
      <c r="I346" s="109" t="n"/>
      <c r="J346" s="268" t="n"/>
    </row>
    <row r="347">
      <c r="A347" s="267" t="n"/>
      <c r="B347" s="267" t="n"/>
      <c r="C347" s="267" t="n"/>
      <c r="D347" s="267" t="n"/>
      <c r="E347" s="267" t="n"/>
      <c r="F347" s="267" t="n"/>
      <c r="G347" s="268" t="n"/>
      <c r="H347" s="268" t="n"/>
      <c r="I347" s="109" t="n"/>
      <c r="J347" s="268" t="n"/>
    </row>
    <row r="348">
      <c r="A348" s="267" t="n"/>
      <c r="B348" s="267" t="n"/>
      <c r="C348" s="267" t="n"/>
      <c r="D348" s="267" t="n"/>
      <c r="E348" s="267" t="n"/>
      <c r="F348" s="267" t="n"/>
      <c r="G348" s="268" t="n"/>
      <c r="H348" s="268" t="n"/>
      <c r="I348" s="109" t="n"/>
      <c r="J348" s="268" t="n"/>
    </row>
    <row r="349">
      <c r="A349" s="267" t="n"/>
      <c r="B349" s="267" t="n"/>
      <c r="C349" s="267" t="n"/>
      <c r="D349" s="267" t="n"/>
      <c r="E349" s="267" t="n"/>
      <c r="F349" s="267" t="n"/>
      <c r="G349" s="268" t="n"/>
      <c r="H349" s="268" t="n"/>
      <c r="I349" s="109" t="n"/>
      <c r="J349" s="268" t="n"/>
    </row>
    <row r="350">
      <c r="A350" s="267" t="n"/>
      <c r="B350" s="267" t="n"/>
      <c r="C350" s="267" t="n"/>
      <c r="D350" s="267" t="n"/>
      <c r="E350" s="267" t="n"/>
      <c r="F350" s="267" t="n"/>
      <c r="G350" s="268" t="n"/>
      <c r="H350" s="268" t="n"/>
      <c r="I350" s="109" t="n"/>
      <c r="J350" s="268" t="n"/>
    </row>
    <row r="351">
      <c r="A351" s="267" t="n"/>
      <c r="B351" s="267" t="n"/>
      <c r="C351" s="267" t="n"/>
      <c r="D351" s="267" t="n"/>
      <c r="E351" s="267" t="n"/>
      <c r="F351" s="267" t="n"/>
      <c r="G351" s="268" t="n"/>
      <c r="H351" s="268" t="n"/>
      <c r="I351" s="109" t="n"/>
      <c r="J351" s="268" t="n"/>
    </row>
    <row r="352">
      <c r="A352" s="267" t="n"/>
      <c r="B352" s="267" t="n"/>
      <c r="C352" s="267" t="n"/>
      <c r="D352" s="267" t="n"/>
      <c r="E352" s="267" t="n"/>
      <c r="F352" s="267" t="n"/>
      <c r="G352" s="268" t="n"/>
      <c r="H352" s="268" t="n"/>
      <c r="I352" s="109" t="n"/>
      <c r="J352" s="268" t="n"/>
    </row>
    <row r="353">
      <c r="A353" s="267" t="n"/>
      <c r="B353" s="267" t="n"/>
      <c r="C353" s="267" t="n"/>
      <c r="D353" s="267" t="n"/>
      <c r="E353" s="267" t="n"/>
      <c r="F353" s="267" t="n"/>
      <c r="G353" s="268" t="n"/>
      <c r="H353" s="268" t="n"/>
      <c r="I353" s="109" t="n"/>
      <c r="J353" s="268" t="n"/>
    </row>
    <row r="354">
      <c r="A354" s="267" t="n"/>
      <c r="B354" s="267" t="n"/>
      <c r="C354" s="267" t="n"/>
      <c r="D354" s="267" t="n"/>
      <c r="E354" s="267" t="n"/>
      <c r="F354" s="267" t="n"/>
      <c r="G354" s="268" t="n"/>
      <c r="H354" s="268" t="n"/>
      <c r="I354" s="109" t="n"/>
      <c r="J354" s="268" t="n"/>
    </row>
    <row r="355">
      <c r="A355" s="267" t="n"/>
      <c r="B355" s="267" t="n"/>
      <c r="C355" s="267" t="n"/>
      <c r="D355" s="267" t="n"/>
      <c r="E355" s="267" t="n"/>
      <c r="F355" s="267" t="n"/>
      <c r="G355" s="268" t="n"/>
      <c r="H355" s="268" t="n"/>
      <c r="I355" s="109" t="n"/>
      <c r="J355" s="268" t="n"/>
    </row>
    <row r="356">
      <c r="A356" s="267" t="n"/>
      <c r="B356" s="267" t="n"/>
      <c r="C356" s="267" t="n"/>
      <c r="D356" s="267" t="n"/>
      <c r="E356" s="267" t="n"/>
      <c r="F356" s="267" t="n"/>
      <c r="G356" s="268" t="n"/>
      <c r="H356" s="268" t="n"/>
      <c r="I356" s="109" t="n"/>
      <c r="J356" s="268" t="n"/>
    </row>
    <row r="357">
      <c r="A357" s="267" t="n"/>
      <c r="B357" s="267" t="n"/>
      <c r="C357" s="267" t="n"/>
      <c r="D357" s="267" t="n"/>
      <c r="E357" s="267" t="n"/>
      <c r="F357" s="267" t="n"/>
      <c r="G357" s="268" t="n"/>
      <c r="H357" s="268" t="n"/>
      <c r="I357" s="109" t="n"/>
      <c r="J357" s="268" t="n"/>
    </row>
    <row r="358">
      <c r="A358" s="267" t="n"/>
      <c r="B358" s="267" t="n"/>
      <c r="C358" s="267" t="n"/>
      <c r="D358" s="267" t="n"/>
      <c r="E358" s="267" t="n"/>
      <c r="F358" s="267" t="n"/>
      <c r="G358" s="268" t="n"/>
      <c r="H358" s="268" t="n"/>
      <c r="I358" s="109" t="n"/>
      <c r="J358" s="268" t="n"/>
    </row>
    <row r="359">
      <c r="A359" s="267" t="n"/>
      <c r="B359" s="267" t="n"/>
      <c r="C359" s="267" t="n"/>
      <c r="D359" s="267" t="n"/>
      <c r="E359" s="267" t="n"/>
      <c r="F359" s="267" t="n"/>
      <c r="G359" s="268" t="n"/>
      <c r="H359" s="268" t="n"/>
      <c r="I359" s="109" t="n"/>
      <c r="J359" s="268" t="n"/>
    </row>
    <row r="360">
      <c r="A360" s="267" t="n"/>
      <c r="B360" s="267" t="n"/>
      <c r="C360" s="267" t="n"/>
      <c r="D360" s="267" t="n"/>
      <c r="E360" s="267" t="n"/>
      <c r="F360" s="267" t="n"/>
      <c r="G360" s="268" t="n"/>
      <c r="H360" s="268" t="n"/>
      <c r="I360" s="109" t="n"/>
      <c r="J360" s="268" t="n"/>
    </row>
    <row r="361">
      <c r="A361" s="267" t="n"/>
      <c r="B361" s="267" t="n"/>
      <c r="C361" s="267" t="n"/>
      <c r="D361" s="267" t="n"/>
      <c r="E361" s="267" t="n"/>
      <c r="F361" s="267" t="n"/>
      <c r="G361" s="268" t="n"/>
      <c r="H361" s="268" t="n"/>
      <c r="I361" s="109" t="n"/>
      <c r="J361" s="268" t="n"/>
    </row>
    <row r="362">
      <c r="A362" s="267" t="n"/>
      <c r="B362" s="267" t="n"/>
      <c r="C362" s="267" t="n"/>
      <c r="D362" s="267" t="n"/>
      <c r="E362" s="267" t="n"/>
      <c r="F362" s="267" t="n"/>
      <c r="G362" s="268" t="n"/>
      <c r="H362" s="268" t="n"/>
      <c r="I362" s="109" t="n"/>
      <c r="J362" s="268" t="n"/>
    </row>
    <row r="363">
      <c r="A363" s="267" t="n"/>
      <c r="B363" s="267" t="n"/>
      <c r="C363" s="267" t="n"/>
      <c r="D363" s="267" t="n"/>
      <c r="E363" s="267" t="n"/>
      <c r="F363" s="267" t="n"/>
      <c r="G363" s="268" t="n"/>
      <c r="H363" s="268" t="n"/>
      <c r="I363" s="109" t="n"/>
      <c r="J363" s="268" t="n"/>
    </row>
    <row r="364">
      <c r="A364" s="267" t="n"/>
      <c r="B364" s="267" t="n"/>
      <c r="C364" s="267" t="n"/>
      <c r="D364" s="267" t="n"/>
      <c r="E364" s="267" t="n"/>
      <c r="F364" s="267" t="n"/>
      <c r="G364" s="268" t="n"/>
      <c r="H364" s="268" t="n"/>
      <c r="I364" s="109" t="n"/>
      <c r="J364" s="268" t="n"/>
    </row>
    <row r="365">
      <c r="A365" s="267" t="n"/>
      <c r="B365" s="267" t="n"/>
      <c r="C365" s="267" t="n"/>
      <c r="D365" s="267" t="n"/>
      <c r="E365" s="267" t="n"/>
      <c r="F365" s="267" t="n"/>
      <c r="G365" s="268" t="n"/>
      <c r="H365" s="268" t="n"/>
      <c r="I365" s="109" t="n"/>
      <c r="J365" s="268" t="n"/>
    </row>
    <row r="366">
      <c r="A366" s="267" t="n"/>
      <c r="B366" s="267" t="n"/>
      <c r="C366" s="267" t="n"/>
      <c r="D366" s="267" t="n"/>
      <c r="E366" s="267" t="n"/>
      <c r="F366" s="267" t="n"/>
      <c r="G366" s="268" t="n"/>
      <c r="H366" s="268" t="n"/>
      <c r="I366" s="109" t="n"/>
      <c r="J366" s="268" t="n"/>
    </row>
    <row r="367">
      <c r="A367" s="267" t="n"/>
      <c r="B367" s="267" t="n"/>
      <c r="C367" s="267" t="n"/>
      <c r="D367" s="267" t="n"/>
      <c r="E367" s="267" t="n"/>
      <c r="F367" s="267" t="n"/>
      <c r="G367" s="268" t="n"/>
      <c r="H367" s="268" t="n"/>
      <c r="I367" s="109" t="n"/>
      <c r="J367" s="268" t="n"/>
    </row>
    <row r="368">
      <c r="A368" s="267" t="n"/>
      <c r="B368" s="267" t="n"/>
      <c r="C368" s="267" t="n"/>
      <c r="D368" s="267" t="n"/>
      <c r="E368" s="267" t="n"/>
      <c r="F368" s="267" t="n"/>
      <c r="G368" s="268" t="n"/>
      <c r="H368" s="268" t="n"/>
      <c r="I368" s="109" t="n"/>
      <c r="J368" s="268" t="n"/>
    </row>
    <row r="369">
      <c r="A369" s="267" t="n"/>
      <c r="B369" s="267" t="n"/>
      <c r="C369" s="267" t="n"/>
      <c r="D369" s="267" t="n"/>
      <c r="E369" s="267" t="n"/>
      <c r="F369" s="267" t="n"/>
      <c r="G369" s="268" t="n"/>
      <c r="H369" s="268" t="n"/>
      <c r="I369" s="109" t="n"/>
      <c r="J369" s="268" t="n"/>
    </row>
    <row r="370">
      <c r="A370" s="267" t="n"/>
      <c r="B370" s="267" t="n"/>
      <c r="C370" s="267" t="n"/>
      <c r="D370" s="267" t="n"/>
      <c r="E370" s="267" t="n"/>
      <c r="F370" s="267" t="n"/>
      <c r="G370" s="268" t="n"/>
      <c r="H370" s="268" t="n"/>
      <c r="I370" s="109" t="n"/>
      <c r="J370" s="268" t="n"/>
    </row>
    <row r="371">
      <c r="A371" s="267" t="n"/>
      <c r="B371" s="267" t="n"/>
      <c r="C371" s="267" t="n"/>
      <c r="D371" s="267" t="n"/>
      <c r="E371" s="267" t="n"/>
      <c r="F371" s="267" t="n"/>
      <c r="G371" s="268" t="n"/>
      <c r="H371" s="268" t="n"/>
      <c r="I371" s="109" t="n"/>
      <c r="J371" s="268" t="n"/>
    </row>
    <row r="372">
      <c r="A372" s="267" t="n"/>
      <c r="B372" s="267" t="n"/>
      <c r="C372" s="267" t="n"/>
      <c r="D372" s="267" t="n"/>
      <c r="E372" s="267" t="n"/>
      <c r="F372" s="267" t="n"/>
      <c r="G372" s="268" t="n"/>
      <c r="H372" s="268" t="n"/>
      <c r="I372" s="109" t="n"/>
      <c r="J372" s="268" t="n"/>
    </row>
    <row r="373">
      <c r="A373" s="267" t="n"/>
      <c r="B373" s="267" t="n"/>
      <c r="C373" s="267" t="n"/>
      <c r="D373" s="267" t="n"/>
      <c r="E373" s="267" t="n"/>
      <c r="F373" s="267" t="n"/>
      <c r="G373" s="268" t="n"/>
      <c r="H373" s="268" t="n"/>
      <c r="I373" s="109" t="n"/>
      <c r="J373" s="268" t="n"/>
    </row>
    <row r="374">
      <c r="A374" s="267" t="n"/>
      <c r="B374" s="267" t="n"/>
      <c r="C374" s="267" t="n"/>
      <c r="D374" s="267" t="n"/>
      <c r="E374" s="267" t="n"/>
      <c r="F374" s="267" t="n"/>
      <c r="G374" s="268" t="n"/>
      <c r="H374" s="268" t="n"/>
      <c r="I374" s="109" t="n"/>
      <c r="J374" s="268" t="n"/>
    </row>
    <row r="375">
      <c r="A375" s="267" t="n"/>
      <c r="B375" s="267" t="n"/>
      <c r="C375" s="267" t="n"/>
      <c r="D375" s="267" t="n"/>
      <c r="E375" s="267" t="n"/>
      <c r="F375" s="267" t="n"/>
      <c r="G375" s="268" t="n"/>
      <c r="H375" s="268" t="n"/>
      <c r="I375" s="109" t="n"/>
      <c r="J375" s="268" t="n"/>
    </row>
    <row r="376">
      <c r="A376" s="267" t="n"/>
      <c r="B376" s="267" t="n"/>
      <c r="C376" s="267" t="n"/>
      <c r="D376" s="267" t="n"/>
      <c r="E376" s="267" t="n"/>
      <c r="F376" s="267" t="n"/>
      <c r="G376" s="268" t="n"/>
      <c r="H376" s="268" t="n"/>
      <c r="I376" s="109" t="n"/>
      <c r="J376" s="268" t="n"/>
    </row>
    <row r="377">
      <c r="A377" s="267" t="n"/>
      <c r="B377" s="267" t="n"/>
      <c r="C377" s="267" t="n"/>
      <c r="D377" s="267" t="n"/>
      <c r="E377" s="267" t="n"/>
      <c r="F377" s="267" t="n"/>
      <c r="G377" s="268" t="n"/>
      <c r="H377" s="268" t="n"/>
      <c r="I377" s="109" t="n"/>
      <c r="J377" s="268" t="n"/>
    </row>
    <row r="378">
      <c r="A378" s="267" t="n"/>
      <c r="B378" s="267" t="n"/>
      <c r="C378" s="267" t="n"/>
      <c r="D378" s="267" t="n"/>
      <c r="E378" s="267" t="n"/>
      <c r="F378" s="267" t="n"/>
      <c r="G378" s="268" t="n"/>
      <c r="H378" s="268" t="n"/>
      <c r="I378" s="109" t="n"/>
      <c r="J378" s="268" t="n"/>
    </row>
    <row r="379">
      <c r="A379" s="267" t="n"/>
      <c r="B379" s="267" t="n"/>
      <c r="C379" s="267" t="n"/>
      <c r="D379" s="267" t="n"/>
      <c r="E379" s="267" t="n"/>
      <c r="F379" s="267" t="n"/>
      <c r="G379" s="268" t="n"/>
      <c r="H379" s="268" t="n"/>
      <c r="I379" s="109" t="n"/>
      <c r="J379" s="268" t="n"/>
    </row>
    <row r="380">
      <c r="A380" s="267" t="n"/>
      <c r="B380" s="267" t="n"/>
      <c r="C380" s="267" t="n"/>
      <c r="D380" s="267" t="n"/>
      <c r="E380" s="267" t="n"/>
      <c r="F380" s="267" t="n"/>
      <c r="G380" s="268" t="n"/>
      <c r="H380" s="268" t="n"/>
      <c r="I380" s="109" t="n"/>
      <c r="J380" s="268" t="n"/>
    </row>
    <row r="381">
      <c r="A381" s="267" t="n"/>
      <c r="B381" s="267" t="n"/>
      <c r="C381" s="267" t="n"/>
      <c r="D381" s="267" t="n"/>
      <c r="E381" s="267" t="n"/>
      <c r="F381" s="267" t="n"/>
      <c r="G381" s="268" t="n"/>
      <c r="H381" s="268" t="n"/>
      <c r="I381" s="109" t="n"/>
      <c r="J381" s="268" t="n"/>
    </row>
    <row r="382">
      <c r="A382" s="267" t="n"/>
      <c r="B382" s="267" t="n"/>
      <c r="C382" s="267" t="n"/>
      <c r="D382" s="267" t="n"/>
      <c r="E382" s="267" t="n"/>
      <c r="F382" s="267" t="n"/>
      <c r="G382" s="268" t="n"/>
      <c r="H382" s="268" t="n"/>
      <c r="I382" s="109" t="n"/>
      <c r="J382" s="268" t="n"/>
    </row>
    <row r="383">
      <c r="A383" s="267" t="n"/>
      <c r="B383" s="267" t="n"/>
      <c r="C383" s="267" t="n"/>
      <c r="D383" s="267" t="n"/>
      <c r="E383" s="267" t="n"/>
      <c r="F383" s="267" t="n"/>
      <c r="G383" s="268" t="n"/>
      <c r="H383" s="268" t="n"/>
      <c r="I383" s="109" t="n"/>
      <c r="J383" s="268" t="n"/>
    </row>
    <row r="384">
      <c r="A384" s="267" t="n"/>
      <c r="B384" s="267" t="n"/>
      <c r="C384" s="267" t="n"/>
      <c r="D384" s="267" t="n"/>
      <c r="E384" s="267" t="n"/>
      <c r="F384" s="267" t="n"/>
      <c r="G384" s="268" t="n"/>
      <c r="H384" s="268" t="n"/>
      <c r="I384" s="109" t="n"/>
      <c r="J384" s="268" t="n"/>
    </row>
    <row r="385">
      <c r="A385" s="267" t="n"/>
      <c r="B385" s="267" t="n"/>
      <c r="C385" s="267" t="n"/>
      <c r="D385" s="267" t="n"/>
      <c r="E385" s="267" t="n"/>
      <c r="F385" s="267" t="n"/>
      <c r="G385" s="268" t="n"/>
      <c r="H385" s="268" t="n"/>
      <c r="I385" s="109" t="n"/>
      <c r="J385" s="268" t="n"/>
    </row>
    <row r="386">
      <c r="A386" s="267" t="n"/>
      <c r="B386" s="267" t="n"/>
      <c r="C386" s="267" t="n"/>
      <c r="D386" s="267" t="n"/>
      <c r="E386" s="267" t="n"/>
      <c r="F386" s="267" t="n"/>
      <c r="G386" s="268" t="n"/>
      <c r="H386" s="268" t="n"/>
      <c r="I386" s="109" t="n"/>
      <c r="J386" s="268" t="n"/>
    </row>
    <row r="387">
      <c r="A387" s="267" t="n"/>
      <c r="B387" s="267" t="n"/>
      <c r="C387" s="267" t="n"/>
      <c r="D387" s="267" t="n"/>
      <c r="E387" s="267" t="n"/>
      <c r="F387" s="267" t="n"/>
      <c r="G387" s="268" t="n"/>
      <c r="H387" s="268" t="n"/>
      <c r="I387" s="109" t="n"/>
      <c r="J387" s="268" t="n"/>
    </row>
    <row r="388">
      <c r="A388" s="267" t="n"/>
      <c r="B388" s="267" t="n"/>
      <c r="C388" s="267" t="n"/>
      <c r="D388" s="267" t="n"/>
      <c r="E388" s="267" t="n"/>
      <c r="F388" s="267" t="n"/>
      <c r="G388" s="268" t="n"/>
      <c r="H388" s="268" t="n"/>
      <c r="I388" s="109" t="n"/>
      <c r="J388" s="268" t="n"/>
    </row>
    <row r="389">
      <c r="A389" s="267" t="n"/>
      <c r="B389" s="267" t="n"/>
      <c r="C389" s="267" t="n"/>
      <c r="D389" s="267" t="n"/>
      <c r="E389" s="267" t="n"/>
      <c r="F389" s="267" t="n"/>
      <c r="G389" s="268" t="n"/>
      <c r="H389" s="268" t="n"/>
      <c r="I389" s="109" t="n"/>
      <c r="J389" s="268" t="n"/>
    </row>
    <row r="390">
      <c r="A390" s="267" t="n"/>
      <c r="B390" s="267" t="n"/>
      <c r="C390" s="267" t="n"/>
      <c r="D390" s="267" t="n"/>
      <c r="E390" s="267" t="n"/>
      <c r="F390" s="267" t="n"/>
      <c r="G390" s="268" t="n"/>
      <c r="H390" s="268" t="n"/>
      <c r="I390" s="109" t="n"/>
      <c r="J390" s="268" t="n"/>
    </row>
    <row r="391">
      <c r="A391" s="267" t="n"/>
      <c r="B391" s="267" t="n"/>
      <c r="C391" s="267" t="n"/>
      <c r="D391" s="267" t="n"/>
      <c r="E391" s="267" t="n"/>
      <c r="F391" s="267" t="n"/>
      <c r="G391" s="268" t="n"/>
      <c r="H391" s="268" t="n"/>
      <c r="I391" s="109" t="n"/>
      <c r="J391" s="268" t="n"/>
    </row>
    <row r="392">
      <c r="A392" s="267" t="n"/>
      <c r="B392" s="267" t="n"/>
      <c r="C392" s="267" t="n"/>
      <c r="D392" s="267" t="n"/>
      <c r="E392" s="267" t="n"/>
      <c r="F392" s="267" t="n"/>
      <c r="G392" s="268" t="n"/>
      <c r="H392" s="268" t="n"/>
      <c r="I392" s="109" t="n"/>
      <c r="J392" s="268" t="n"/>
    </row>
    <row r="393">
      <c r="A393" s="267" t="n"/>
      <c r="B393" s="267" t="n"/>
      <c r="C393" s="267" t="n"/>
      <c r="D393" s="267" t="n"/>
      <c r="E393" s="267" t="n"/>
      <c r="F393" s="267" t="n"/>
      <c r="G393" s="268" t="n"/>
      <c r="H393" s="268" t="n"/>
      <c r="I393" s="109" t="n"/>
      <c r="J393" s="268" t="n"/>
    </row>
    <row r="394">
      <c r="A394" s="267" t="n"/>
      <c r="B394" s="267" t="n"/>
      <c r="C394" s="267" t="n"/>
      <c r="D394" s="267" t="n"/>
      <c r="E394" s="267" t="n"/>
      <c r="F394" s="267" t="n"/>
      <c r="G394" s="268" t="n"/>
      <c r="H394" s="268" t="n"/>
      <c r="I394" s="109" t="n"/>
      <c r="J394" s="268" t="n"/>
    </row>
    <row r="395">
      <c r="A395" s="267" t="n"/>
      <c r="B395" s="267" t="n"/>
      <c r="C395" s="267" t="n"/>
      <c r="D395" s="267" t="n"/>
      <c r="E395" s="267" t="n"/>
      <c r="F395" s="267" t="n"/>
      <c r="G395" s="268" t="n"/>
      <c r="H395" s="268" t="n"/>
      <c r="I395" s="109" t="n"/>
      <c r="J395" s="268" t="n"/>
    </row>
    <row r="396">
      <c r="A396" s="267" t="n"/>
      <c r="B396" s="267" t="n"/>
      <c r="C396" s="267" t="n"/>
      <c r="D396" s="267" t="n"/>
      <c r="E396" s="267" t="n"/>
      <c r="F396" s="267" t="n"/>
      <c r="G396" s="268" t="n"/>
      <c r="H396" s="268" t="n"/>
      <c r="I396" s="109" t="n"/>
      <c r="J396" s="268" t="n"/>
    </row>
    <row r="397">
      <c r="A397" s="267" t="n"/>
      <c r="B397" s="267" t="n"/>
      <c r="C397" s="267" t="n"/>
      <c r="D397" s="267" t="n"/>
      <c r="E397" s="267" t="n"/>
      <c r="F397" s="267" t="n"/>
      <c r="G397" s="268" t="n"/>
      <c r="H397" s="268" t="n"/>
      <c r="I397" s="109" t="n"/>
      <c r="J397" s="268" t="n"/>
    </row>
    <row r="398">
      <c r="A398" s="267" t="n"/>
      <c r="B398" s="267" t="n"/>
      <c r="C398" s="267" t="n"/>
      <c r="D398" s="267" t="n"/>
      <c r="E398" s="267" t="n"/>
      <c r="F398" s="267" t="n"/>
      <c r="G398" s="268" t="n"/>
      <c r="H398" s="268" t="n"/>
      <c r="I398" s="109" t="n"/>
      <c r="J398" s="268" t="n"/>
    </row>
    <row r="399">
      <c r="A399" s="267" t="n"/>
      <c r="B399" s="267" t="n"/>
      <c r="C399" s="267" t="n"/>
      <c r="D399" s="267" t="n"/>
      <c r="E399" s="267" t="n"/>
      <c r="F399" s="267" t="n"/>
      <c r="G399" s="268" t="n"/>
      <c r="H399" s="268" t="n"/>
      <c r="I399" s="109" t="n"/>
      <c r="J399" s="268" t="n"/>
    </row>
    <row r="400">
      <c r="A400" s="267" t="n"/>
      <c r="B400" s="267" t="n"/>
      <c r="C400" s="267" t="n"/>
      <c r="D400" s="267" t="n"/>
      <c r="E400" s="267" t="n"/>
      <c r="F400" s="267" t="n"/>
      <c r="G400" s="268" t="n"/>
      <c r="H400" s="268" t="n"/>
      <c r="I400" s="109" t="n"/>
      <c r="J400" s="268" t="n"/>
    </row>
    <row r="401">
      <c r="A401" s="267" t="n"/>
      <c r="B401" s="267" t="n"/>
      <c r="C401" s="267" t="n"/>
      <c r="D401" s="267" t="n"/>
      <c r="E401" s="267" t="n"/>
      <c r="F401" s="267" t="n"/>
      <c r="G401" s="268" t="n"/>
      <c r="H401" s="268" t="n"/>
      <c r="I401" s="109" t="n"/>
      <c r="J401" s="268" t="n"/>
    </row>
    <row r="402">
      <c r="A402" s="267" t="n"/>
      <c r="B402" s="267" t="n"/>
      <c r="C402" s="267" t="n"/>
      <c r="D402" s="267" t="n"/>
      <c r="E402" s="267" t="n"/>
      <c r="F402" s="267" t="n"/>
      <c r="G402" s="268" t="n"/>
      <c r="H402" s="268" t="n"/>
      <c r="I402" s="109" t="n"/>
      <c r="J402" s="268" t="n"/>
    </row>
    <row r="403">
      <c r="A403" s="267" t="n"/>
      <c r="B403" s="267" t="n"/>
      <c r="C403" s="267" t="n"/>
      <c r="D403" s="267" t="n"/>
      <c r="E403" s="267" t="n"/>
      <c r="F403" s="267" t="n"/>
      <c r="G403" s="268" t="n"/>
      <c r="H403" s="268" t="n"/>
      <c r="I403" s="109" t="n"/>
      <c r="J403" s="268" t="n"/>
    </row>
    <row r="404">
      <c r="A404" s="267" t="n"/>
      <c r="B404" s="267" t="n"/>
      <c r="C404" s="267" t="n"/>
      <c r="D404" s="267" t="n"/>
      <c r="E404" s="267" t="n"/>
      <c r="F404" s="267" t="n"/>
      <c r="G404" s="268" t="n"/>
      <c r="H404" s="268" t="n"/>
      <c r="I404" s="109" t="n"/>
      <c r="J404" s="268" t="n"/>
    </row>
    <row r="405">
      <c r="A405" s="267" t="n"/>
      <c r="B405" s="267" t="n"/>
      <c r="C405" s="267" t="n"/>
      <c r="D405" s="267" t="n"/>
      <c r="E405" s="267" t="n"/>
      <c r="F405" s="267" t="n"/>
      <c r="G405" s="268" t="n"/>
      <c r="H405" s="268" t="n"/>
      <c r="I405" s="109" t="n"/>
      <c r="J405" s="268" t="n"/>
    </row>
    <row r="406">
      <c r="A406" s="267" t="n"/>
      <c r="B406" s="267" t="n"/>
      <c r="C406" s="267" t="n"/>
      <c r="D406" s="267" t="n"/>
      <c r="E406" s="267" t="n"/>
      <c r="F406" s="267" t="n"/>
      <c r="G406" s="268" t="n"/>
      <c r="H406" s="268" t="n"/>
      <c r="I406" s="109" t="n"/>
      <c r="J406" s="268" t="n"/>
    </row>
    <row r="407">
      <c r="A407" s="267" t="n"/>
      <c r="B407" s="267" t="n"/>
      <c r="C407" s="267" t="n"/>
      <c r="D407" s="267" t="n"/>
      <c r="E407" s="267" t="n"/>
      <c r="F407" s="267" t="n"/>
      <c r="G407" s="268" t="n"/>
      <c r="H407" s="268" t="n"/>
      <c r="I407" s="109" t="n"/>
      <c r="J407" s="268" t="n"/>
    </row>
    <row r="408">
      <c r="A408" s="267" t="n"/>
      <c r="B408" s="267" t="n"/>
      <c r="C408" s="267" t="n"/>
      <c r="D408" s="267" t="n"/>
      <c r="E408" s="267" t="n"/>
      <c r="F408" s="267" t="n"/>
      <c r="G408" s="268" t="n"/>
      <c r="H408" s="268" t="n"/>
      <c r="I408" s="109" t="n"/>
      <c r="J408" s="268" t="n"/>
    </row>
    <row r="409">
      <c r="A409" s="267" t="n"/>
      <c r="B409" s="267" t="n"/>
      <c r="C409" s="267" t="n"/>
      <c r="D409" s="267" t="n"/>
      <c r="E409" s="267" t="n"/>
      <c r="F409" s="267" t="n"/>
      <c r="G409" s="268" t="n"/>
      <c r="H409" s="268" t="n"/>
      <c r="I409" s="109" t="n"/>
      <c r="J409" s="268" t="n"/>
    </row>
    <row r="410">
      <c r="A410" s="267" t="n"/>
      <c r="B410" s="267" t="n"/>
      <c r="C410" s="267" t="n"/>
      <c r="D410" s="267" t="n"/>
      <c r="E410" s="267" t="n"/>
      <c r="F410" s="267" t="n"/>
      <c r="G410" s="268" t="n"/>
      <c r="H410" s="268" t="n"/>
      <c r="I410" s="109" t="n"/>
      <c r="J410" s="268" t="n"/>
    </row>
    <row r="411">
      <c r="A411" s="267" t="n"/>
      <c r="B411" s="267" t="n"/>
      <c r="C411" s="267" t="n"/>
      <c r="D411" s="267" t="n"/>
      <c r="E411" s="267" t="n"/>
      <c r="F411" s="267" t="n"/>
      <c r="G411" s="268" t="n"/>
      <c r="H411" s="268" t="n"/>
      <c r="I411" s="109" t="n"/>
      <c r="J411" s="268" t="n"/>
    </row>
    <row r="412">
      <c r="A412" s="267" t="n"/>
      <c r="B412" s="267" t="n"/>
      <c r="C412" s="267" t="n"/>
      <c r="D412" s="267" t="n"/>
      <c r="E412" s="267" t="n"/>
      <c r="F412" s="267" t="n"/>
      <c r="G412" s="268" t="n"/>
      <c r="H412" s="268" t="n"/>
      <c r="I412" s="109" t="n"/>
      <c r="J412" s="268" t="n"/>
    </row>
    <row r="413">
      <c r="A413" s="267" t="n"/>
      <c r="B413" s="267" t="n"/>
      <c r="C413" s="267" t="n"/>
      <c r="D413" s="267" t="n"/>
      <c r="E413" s="267" t="n"/>
      <c r="F413" s="267" t="n"/>
      <c r="G413" s="268" t="n"/>
      <c r="H413" s="268" t="n"/>
      <c r="I413" s="109" t="n"/>
      <c r="J413" s="268" t="n"/>
    </row>
    <row r="414">
      <c r="A414" s="267" t="n"/>
      <c r="B414" s="267" t="n"/>
      <c r="C414" s="267" t="n"/>
      <c r="D414" s="267" t="n"/>
      <c r="E414" s="267" t="n"/>
      <c r="F414" s="267" t="n"/>
      <c r="G414" s="268" t="n"/>
      <c r="H414" s="268" t="n"/>
      <c r="I414" s="109" t="n"/>
      <c r="J414" s="268" t="n"/>
    </row>
    <row r="415">
      <c r="A415" s="267" t="n"/>
      <c r="B415" s="267" t="n"/>
      <c r="C415" s="267" t="n"/>
      <c r="D415" s="267" t="n"/>
      <c r="E415" s="267" t="n"/>
      <c r="F415" s="267" t="n"/>
      <c r="G415" s="268" t="n"/>
      <c r="H415" s="268" t="n"/>
      <c r="I415" s="109" t="n"/>
      <c r="J415" s="268" t="n"/>
    </row>
    <row r="416">
      <c r="A416" s="267" t="n"/>
      <c r="B416" s="267" t="n"/>
      <c r="C416" s="267" t="n"/>
      <c r="D416" s="267" t="n"/>
      <c r="E416" s="267" t="n"/>
      <c r="F416" s="267" t="n"/>
      <c r="G416" s="268" t="n"/>
      <c r="H416" s="268" t="n"/>
      <c r="I416" s="109" t="n"/>
      <c r="J416" s="268" t="n"/>
    </row>
    <row r="417">
      <c r="A417" s="267" t="n"/>
      <c r="B417" s="267" t="n"/>
      <c r="C417" s="267" t="n"/>
      <c r="D417" s="267" t="n"/>
      <c r="E417" s="267" t="n"/>
      <c r="F417" s="267" t="n"/>
      <c r="G417" s="268" t="n"/>
      <c r="H417" s="268" t="n"/>
      <c r="I417" s="109" t="n"/>
      <c r="J417" s="268" t="n"/>
    </row>
    <row r="418">
      <c r="A418" s="267" t="n"/>
      <c r="B418" s="267" t="n"/>
      <c r="C418" s="267" t="n"/>
      <c r="D418" s="267" t="n"/>
      <c r="E418" s="267" t="n"/>
      <c r="F418" s="267" t="n"/>
      <c r="G418" s="268" t="n"/>
      <c r="H418" s="268" t="n"/>
      <c r="I418" s="109" t="n"/>
      <c r="J418" s="268" t="n"/>
    </row>
    <row r="419">
      <c r="A419" s="267" t="n"/>
      <c r="B419" s="267" t="n"/>
      <c r="C419" s="267" t="n"/>
      <c r="D419" s="267" t="n"/>
      <c r="E419" s="267" t="n"/>
      <c r="F419" s="267" t="n"/>
      <c r="G419" s="268" t="n"/>
      <c r="H419" s="268" t="n"/>
      <c r="I419" s="109" t="n"/>
      <c r="J419" s="268" t="n"/>
    </row>
    <row r="420">
      <c r="A420" s="267" t="n"/>
      <c r="B420" s="267" t="n"/>
      <c r="C420" s="267" t="n"/>
      <c r="D420" s="267" t="n"/>
      <c r="E420" s="267" t="n"/>
      <c r="F420" s="267" t="n"/>
      <c r="G420" s="268" t="n"/>
      <c r="H420" s="268" t="n"/>
      <c r="I420" s="109" t="n"/>
      <c r="J420" s="268" t="n"/>
    </row>
    <row r="421">
      <c r="A421" s="267" t="n"/>
      <c r="B421" s="267" t="n"/>
      <c r="C421" s="267" t="n"/>
      <c r="D421" s="267" t="n"/>
      <c r="E421" s="267" t="n"/>
      <c r="F421" s="267" t="n"/>
      <c r="G421" s="268" t="n"/>
      <c r="H421" s="268" t="n"/>
      <c r="I421" s="109" t="n"/>
      <c r="J421" s="268" t="n"/>
    </row>
    <row r="422">
      <c r="A422" s="267" t="n"/>
      <c r="B422" s="267" t="n"/>
      <c r="C422" s="267" t="n"/>
      <c r="D422" s="267" t="n"/>
      <c r="E422" s="267" t="n"/>
      <c r="F422" s="267" t="n"/>
      <c r="G422" s="268" t="n"/>
      <c r="H422" s="268" t="n"/>
      <c r="I422" s="109" t="n"/>
      <c r="J422" s="268" t="n"/>
    </row>
    <row r="423">
      <c r="A423" s="267" t="n"/>
      <c r="B423" s="267" t="n"/>
      <c r="C423" s="267" t="n"/>
      <c r="D423" s="267" t="n"/>
      <c r="E423" s="267" t="n"/>
      <c r="F423" s="267" t="n"/>
      <c r="G423" s="268" t="n"/>
      <c r="H423" s="268" t="n"/>
      <c r="I423" s="109" t="n"/>
      <c r="J423" s="268" t="n"/>
    </row>
    <row r="424">
      <c r="A424" s="267" t="n"/>
      <c r="B424" s="267" t="n"/>
      <c r="C424" s="267" t="n"/>
      <c r="D424" s="267" t="n"/>
      <c r="E424" s="267" t="n"/>
      <c r="F424" s="267" t="n"/>
      <c r="G424" s="268" t="n"/>
      <c r="H424" s="268" t="n"/>
      <c r="I424" s="109" t="n"/>
      <c r="J424" s="268" t="n"/>
    </row>
    <row r="425">
      <c r="A425" s="267" t="n"/>
      <c r="B425" s="267" t="n"/>
      <c r="C425" s="267" t="n"/>
      <c r="D425" s="267" t="n"/>
      <c r="E425" s="267" t="n"/>
      <c r="F425" s="267" t="n"/>
      <c r="G425" s="268" t="n"/>
      <c r="H425" s="268" t="n"/>
      <c r="I425" s="109" t="n"/>
      <c r="J425" s="268" t="n"/>
    </row>
    <row r="426">
      <c r="A426" s="267" t="n"/>
      <c r="B426" s="267" t="n"/>
      <c r="C426" s="267" t="n"/>
      <c r="D426" s="267" t="n"/>
      <c r="E426" s="267" t="n"/>
      <c r="F426" s="267" t="n"/>
      <c r="G426" s="268" t="n"/>
      <c r="H426" s="268" t="n"/>
      <c r="I426" s="109" t="n"/>
      <c r="J426" s="268" t="n"/>
    </row>
    <row r="427">
      <c r="A427" s="267" t="n"/>
      <c r="B427" s="267" t="n"/>
      <c r="C427" s="267" t="n"/>
      <c r="D427" s="267" t="n"/>
      <c r="E427" s="267" t="n"/>
      <c r="F427" s="267" t="n"/>
      <c r="G427" s="268" t="n"/>
      <c r="H427" s="268" t="n"/>
      <c r="I427" s="109" t="n"/>
      <c r="J427" s="268" t="n"/>
    </row>
    <row r="428">
      <c r="A428" s="267" t="n"/>
      <c r="B428" s="267" t="n"/>
      <c r="C428" s="267" t="n"/>
      <c r="D428" s="267" t="n"/>
      <c r="E428" s="267" t="n"/>
      <c r="F428" s="267" t="n"/>
      <c r="G428" s="268" t="n"/>
      <c r="H428" s="268" t="n"/>
      <c r="I428" s="109" t="n"/>
      <c r="J428" s="268" t="n"/>
    </row>
    <row r="429">
      <c r="A429" s="267" t="n"/>
      <c r="B429" s="267" t="n"/>
      <c r="C429" s="267" t="n"/>
      <c r="D429" s="267" t="n"/>
      <c r="E429" s="267" t="n"/>
      <c r="F429" s="267" t="n"/>
      <c r="G429" s="268" t="n"/>
      <c r="H429" s="268" t="n"/>
      <c r="I429" s="109" t="n"/>
      <c r="J429" s="268" t="n"/>
    </row>
    <row r="430">
      <c r="A430" s="267" t="n"/>
      <c r="B430" s="267" t="n"/>
      <c r="C430" s="267" t="n"/>
      <c r="D430" s="267" t="n"/>
      <c r="E430" s="267" t="n"/>
      <c r="F430" s="267" t="n"/>
      <c r="G430" s="268" t="n"/>
      <c r="H430" s="268" t="n"/>
      <c r="I430" s="109" t="n"/>
      <c r="J430" s="268" t="n"/>
    </row>
    <row r="431">
      <c r="A431" s="267" t="n"/>
      <c r="B431" s="267" t="n"/>
      <c r="C431" s="267" t="n"/>
      <c r="D431" s="267" t="n"/>
      <c r="E431" s="267" t="n"/>
      <c r="F431" s="267" t="n"/>
      <c r="G431" s="268" t="n"/>
      <c r="H431" s="268" t="n"/>
      <c r="I431" s="109" t="n"/>
      <c r="J431" s="268" t="n"/>
    </row>
    <row r="432">
      <c r="A432" s="267" t="n"/>
      <c r="B432" s="267" t="n"/>
      <c r="C432" s="267" t="n"/>
      <c r="D432" s="267" t="n"/>
      <c r="E432" s="267" t="n"/>
      <c r="F432" s="267" t="n"/>
      <c r="G432" s="268" t="n"/>
      <c r="H432" s="268" t="n"/>
      <c r="I432" s="109" t="n"/>
      <c r="J432" s="268" t="n"/>
    </row>
    <row r="433">
      <c r="A433" s="267" t="n"/>
      <c r="B433" s="267" t="n"/>
      <c r="C433" s="267" t="n"/>
      <c r="D433" s="267" t="n"/>
      <c r="E433" s="267" t="n"/>
      <c r="F433" s="267" t="n"/>
      <c r="G433" s="268" t="n"/>
      <c r="H433" s="268" t="n"/>
      <c r="I433" s="109" t="n"/>
      <c r="J433" s="268" t="n"/>
    </row>
    <row r="434">
      <c r="A434" s="267" t="n"/>
      <c r="B434" s="267" t="n"/>
      <c r="C434" s="267" t="n"/>
      <c r="D434" s="267" t="n"/>
      <c r="E434" s="267" t="n"/>
      <c r="F434" s="267" t="n"/>
      <c r="G434" s="268" t="n"/>
      <c r="H434" s="268" t="n"/>
      <c r="I434" s="109" t="n"/>
      <c r="J434" s="268" t="n"/>
    </row>
    <row r="435">
      <c r="A435" s="267" t="n"/>
      <c r="B435" s="267" t="n"/>
      <c r="C435" s="267" t="n"/>
      <c r="D435" s="267" t="n"/>
      <c r="E435" s="267" t="n"/>
      <c r="F435" s="267" t="n"/>
      <c r="G435" s="268" t="n"/>
      <c r="H435" s="268" t="n"/>
      <c r="I435" s="109" t="n"/>
      <c r="J435" s="268" t="n"/>
    </row>
    <row r="436">
      <c r="A436" s="267" t="n"/>
      <c r="B436" s="267" t="n"/>
      <c r="C436" s="267" t="n"/>
      <c r="D436" s="267" t="n"/>
      <c r="E436" s="267" t="n"/>
      <c r="F436" s="267" t="n"/>
      <c r="G436" s="268" t="n"/>
      <c r="H436" s="268" t="n"/>
      <c r="I436" s="109" t="n"/>
      <c r="J436" s="268" t="n"/>
    </row>
    <row r="437">
      <c r="A437" s="267" t="n"/>
      <c r="B437" s="267" t="n"/>
      <c r="C437" s="267" t="n"/>
      <c r="D437" s="267" t="n"/>
      <c r="E437" s="267" t="n"/>
      <c r="F437" s="267" t="n"/>
      <c r="G437" s="268" t="n"/>
      <c r="H437" s="268" t="n"/>
      <c r="I437" s="109" t="n"/>
      <c r="J437" s="268" t="n"/>
    </row>
    <row r="438">
      <c r="A438" s="267" t="n"/>
      <c r="B438" s="267" t="n"/>
      <c r="C438" s="267" t="n"/>
      <c r="D438" s="267" t="n"/>
      <c r="E438" s="267" t="n"/>
      <c r="F438" s="267" t="n"/>
      <c r="G438" s="268" t="n"/>
      <c r="H438" s="268" t="n"/>
      <c r="I438" s="109" t="n"/>
      <c r="J438" s="268" t="n"/>
    </row>
    <row r="439">
      <c r="A439" s="267" t="n"/>
      <c r="B439" s="267" t="n"/>
      <c r="C439" s="267" t="n"/>
      <c r="D439" s="267" t="n"/>
      <c r="E439" s="267" t="n"/>
      <c r="F439" s="267" t="n"/>
      <c r="G439" s="268" t="n"/>
      <c r="H439" s="268" t="n"/>
      <c r="I439" s="109" t="n"/>
      <c r="J439" s="268" t="n"/>
    </row>
    <row r="440">
      <c r="A440" s="267" t="n"/>
      <c r="B440" s="267" t="n"/>
      <c r="C440" s="267" t="n"/>
      <c r="D440" s="267" t="n"/>
      <c r="E440" s="267" t="n"/>
      <c r="F440" s="267" t="n"/>
      <c r="G440" s="268" t="n"/>
      <c r="H440" s="268" t="n"/>
      <c r="I440" s="109" t="n"/>
      <c r="J440" s="268" t="n"/>
    </row>
    <row r="441">
      <c r="A441" s="267" t="n"/>
      <c r="B441" s="267" t="n"/>
      <c r="C441" s="267" t="n"/>
      <c r="D441" s="267" t="n"/>
      <c r="E441" s="267" t="n"/>
      <c r="F441" s="267" t="n"/>
      <c r="G441" s="268" t="n"/>
      <c r="H441" s="268" t="n"/>
      <c r="I441" s="109" t="n"/>
      <c r="J441" s="268" t="n"/>
    </row>
    <row r="442">
      <c r="A442" s="267" t="n"/>
      <c r="B442" s="267" t="n"/>
      <c r="C442" s="267" t="n"/>
      <c r="D442" s="267" t="n"/>
      <c r="E442" s="267" t="n"/>
      <c r="F442" s="267" t="n"/>
      <c r="G442" s="268" t="n"/>
      <c r="H442" s="268" t="n"/>
      <c r="I442" s="109" t="n"/>
      <c r="J442" s="268" t="n"/>
    </row>
    <row r="443">
      <c r="A443" s="267" t="n"/>
      <c r="B443" s="267" t="n"/>
      <c r="C443" s="267" t="n"/>
      <c r="D443" s="267" t="n"/>
      <c r="E443" s="267" t="n"/>
      <c r="F443" s="267" t="n"/>
      <c r="G443" s="268" t="n"/>
      <c r="H443" s="268" t="n"/>
      <c r="I443" s="109" t="n"/>
      <c r="J443" s="268" t="n"/>
    </row>
    <row r="444">
      <c r="A444" s="267" t="n"/>
      <c r="B444" s="267" t="n"/>
      <c r="C444" s="267" t="n"/>
      <c r="D444" s="267" t="n"/>
      <c r="E444" s="267" t="n"/>
      <c r="F444" s="267" t="n"/>
      <c r="G444" s="268" t="n"/>
      <c r="H444" s="268" t="n"/>
      <c r="I444" s="109" t="n"/>
      <c r="J444" s="268" t="n"/>
    </row>
    <row r="445">
      <c r="A445" s="267" t="n"/>
      <c r="B445" s="267" t="n"/>
      <c r="C445" s="267" t="n"/>
      <c r="D445" s="267" t="n"/>
      <c r="E445" s="267" t="n"/>
      <c r="F445" s="267" t="n"/>
      <c r="G445" s="268" t="n"/>
      <c r="H445" s="268" t="n"/>
      <c r="I445" s="109" t="n"/>
      <c r="J445" s="268" t="n"/>
    </row>
    <row r="446">
      <c r="A446" s="267" t="n"/>
      <c r="B446" s="267" t="n"/>
      <c r="C446" s="267" t="n"/>
      <c r="D446" s="267" t="n"/>
      <c r="E446" s="267" t="n"/>
      <c r="F446" s="267" t="n"/>
      <c r="G446" s="268" t="n"/>
      <c r="H446" s="268" t="n"/>
      <c r="I446" s="109" t="n"/>
      <c r="J446" s="268" t="n"/>
    </row>
    <row r="447">
      <c r="A447" s="267" t="n"/>
      <c r="B447" s="267" t="n"/>
      <c r="C447" s="267" t="n"/>
      <c r="D447" s="267" t="n"/>
      <c r="E447" s="267" t="n"/>
      <c r="F447" s="267" t="n"/>
      <c r="G447" s="268" t="n"/>
      <c r="H447" s="268" t="n"/>
      <c r="I447" s="109" t="n"/>
      <c r="J447" s="268" t="n"/>
    </row>
    <row r="448">
      <c r="A448" s="267" t="n"/>
      <c r="B448" s="267" t="n"/>
      <c r="C448" s="267" t="n"/>
      <c r="D448" s="267" t="n"/>
      <c r="E448" s="267" t="n"/>
      <c r="F448" s="267" t="n"/>
      <c r="G448" s="268" t="n"/>
      <c r="H448" s="268" t="n"/>
      <c r="I448" s="109" t="n"/>
      <c r="J448" s="268" t="n"/>
    </row>
    <row r="449">
      <c r="A449" s="267" t="n"/>
      <c r="B449" s="267" t="n"/>
      <c r="C449" s="267" t="n"/>
      <c r="D449" s="267" t="n"/>
      <c r="E449" s="267" t="n"/>
      <c r="F449" s="267" t="n"/>
      <c r="G449" s="268" t="n"/>
      <c r="H449" s="268" t="n"/>
      <c r="I449" s="109" t="n"/>
      <c r="J449" s="268" t="n"/>
    </row>
    <row r="450">
      <c r="A450" s="267" t="n"/>
      <c r="B450" s="267" t="n"/>
      <c r="C450" s="267" t="n"/>
      <c r="D450" s="267" t="n"/>
      <c r="E450" s="267" t="n"/>
      <c r="F450" s="267" t="n"/>
      <c r="G450" s="268" t="n"/>
      <c r="H450" s="268" t="n"/>
      <c r="I450" s="109" t="n"/>
      <c r="J450" s="268" t="n"/>
    </row>
    <row r="451">
      <c r="A451" s="267" t="n"/>
      <c r="B451" s="267" t="n"/>
      <c r="C451" s="267" t="n"/>
      <c r="D451" s="267" t="n"/>
      <c r="E451" s="267" t="n"/>
      <c r="F451" s="267" t="n"/>
      <c r="G451" s="268" t="n"/>
      <c r="H451" s="268" t="n"/>
      <c r="I451" s="109" t="n"/>
      <c r="J451" s="268" t="n"/>
    </row>
    <row r="452">
      <c r="A452" s="267" t="n"/>
      <c r="B452" s="267" t="n"/>
      <c r="C452" s="267" t="n"/>
      <c r="D452" s="267" t="n"/>
      <c r="E452" s="267" t="n"/>
      <c r="F452" s="267" t="n"/>
      <c r="G452" s="268" t="n"/>
      <c r="H452" s="268" t="n"/>
      <c r="I452" s="109" t="n"/>
      <c r="J452" s="268" t="n"/>
    </row>
    <row r="453">
      <c r="A453" s="267" t="n"/>
      <c r="B453" s="267" t="n"/>
      <c r="C453" s="267" t="n"/>
      <c r="D453" s="267" t="n"/>
      <c r="E453" s="267" t="n"/>
      <c r="F453" s="267" t="n"/>
      <c r="G453" s="268" t="n"/>
      <c r="H453" s="268" t="n"/>
      <c r="I453" s="109" t="n"/>
      <c r="J453" s="268" t="n"/>
    </row>
    <row r="454">
      <c r="A454" s="267" t="n"/>
      <c r="B454" s="267" t="n"/>
      <c r="C454" s="267" t="n"/>
      <c r="D454" s="267" t="n"/>
      <c r="E454" s="267" t="n"/>
      <c r="F454" s="267" t="n"/>
      <c r="G454" s="268" t="n"/>
      <c r="H454" s="268" t="n"/>
      <c r="I454" s="109" t="n"/>
      <c r="J454" s="268" t="n"/>
    </row>
    <row r="455">
      <c r="A455" s="267" t="n"/>
      <c r="B455" s="267" t="n"/>
      <c r="C455" s="267" t="n"/>
      <c r="D455" s="267" t="n"/>
      <c r="E455" s="267" t="n"/>
      <c r="F455" s="267" t="n"/>
      <c r="G455" s="268" t="n"/>
      <c r="H455" s="268" t="n"/>
      <c r="I455" s="109" t="n"/>
      <c r="J455" s="268" t="n"/>
    </row>
    <row r="456">
      <c r="A456" s="267" t="n"/>
      <c r="B456" s="267" t="n"/>
      <c r="C456" s="267" t="n"/>
      <c r="D456" s="267" t="n"/>
      <c r="E456" s="267" t="n"/>
      <c r="F456" s="267" t="n"/>
      <c r="G456" s="268" t="n"/>
      <c r="H456" s="268" t="n"/>
      <c r="I456" s="109" t="n"/>
      <c r="J456" s="268" t="n"/>
    </row>
    <row r="457">
      <c r="A457" s="267" t="n"/>
      <c r="B457" s="267" t="n"/>
      <c r="C457" s="267" t="n"/>
      <c r="D457" s="267" t="n"/>
      <c r="E457" s="267" t="n"/>
      <c r="F457" s="267" t="n"/>
      <c r="G457" s="268" t="n"/>
      <c r="H457" s="268" t="n"/>
      <c r="I457" s="109" t="n"/>
      <c r="J457" s="268" t="n"/>
    </row>
    <row r="458">
      <c r="A458" s="267" t="n"/>
      <c r="B458" s="267" t="n"/>
      <c r="C458" s="267" t="n"/>
      <c r="D458" s="267" t="n"/>
      <c r="E458" s="267" t="n"/>
      <c r="F458" s="267" t="n"/>
      <c r="G458" s="268" t="n"/>
      <c r="H458" s="268" t="n"/>
      <c r="I458" s="109" t="n"/>
      <c r="J458" s="268" t="n"/>
    </row>
    <row r="459">
      <c r="A459" s="267" t="n"/>
      <c r="B459" s="267" t="n"/>
      <c r="C459" s="267" t="n"/>
      <c r="D459" s="267" t="n"/>
      <c r="E459" s="267" t="n"/>
      <c r="F459" s="267" t="n"/>
      <c r="G459" s="268" t="n"/>
      <c r="H459" s="268" t="n"/>
      <c r="I459" s="109" t="n"/>
      <c r="J459" s="268" t="n"/>
    </row>
    <row r="460">
      <c r="A460" s="267" t="n"/>
      <c r="B460" s="267" t="n"/>
      <c r="C460" s="267" t="n"/>
      <c r="D460" s="267" t="n"/>
      <c r="E460" s="267" t="n"/>
      <c r="F460" s="267" t="n"/>
      <c r="G460" s="268" t="n"/>
      <c r="H460" s="268" t="n"/>
      <c r="I460" s="109" t="n"/>
      <c r="J460" s="268" t="n"/>
    </row>
    <row r="461">
      <c r="A461" s="267" t="n"/>
      <c r="B461" s="267" t="n"/>
      <c r="C461" s="267" t="n"/>
      <c r="D461" s="267" t="n"/>
      <c r="E461" s="267" t="n"/>
      <c r="F461" s="267" t="n"/>
      <c r="G461" s="268" t="n"/>
      <c r="H461" s="268" t="n"/>
      <c r="I461" s="109" t="n"/>
      <c r="J461" s="268" t="n"/>
    </row>
    <row r="462">
      <c r="A462" s="267" t="n"/>
      <c r="B462" s="267" t="n"/>
      <c r="C462" s="267" t="n"/>
      <c r="D462" s="267" t="n"/>
      <c r="E462" s="267" t="n"/>
      <c r="F462" s="267" t="n"/>
      <c r="G462" s="268" t="n"/>
      <c r="H462" s="268" t="n"/>
      <c r="I462" s="109" t="n"/>
      <c r="J462" s="268" t="n"/>
    </row>
    <row r="463">
      <c r="A463" s="267" t="n"/>
      <c r="B463" s="267" t="n"/>
      <c r="C463" s="267" t="n"/>
      <c r="D463" s="267" t="n"/>
      <c r="E463" s="267" t="n"/>
      <c r="F463" s="267" t="n"/>
      <c r="G463" s="268" t="n"/>
      <c r="H463" s="268" t="n"/>
      <c r="I463" s="109" t="n"/>
      <c r="J463" s="268" t="n"/>
    </row>
    <row r="464">
      <c r="A464" s="267" t="n"/>
      <c r="B464" s="267" t="n"/>
      <c r="C464" s="267" t="n"/>
      <c r="D464" s="267" t="n"/>
      <c r="E464" s="267" t="n"/>
      <c r="F464" s="267" t="n"/>
      <c r="G464" s="268" t="n"/>
      <c r="H464" s="268" t="n"/>
      <c r="I464" s="109" t="n"/>
      <c r="J464" s="268" t="n"/>
    </row>
    <row r="465">
      <c r="A465" s="267" t="n"/>
      <c r="B465" s="267" t="n"/>
      <c r="C465" s="267" t="n"/>
      <c r="D465" s="267" t="n"/>
      <c r="E465" s="267" t="n"/>
      <c r="F465" s="267" t="n"/>
      <c r="G465" s="268" t="n"/>
      <c r="H465" s="268" t="n"/>
      <c r="I465" s="109" t="n"/>
      <c r="J465" s="268" t="n"/>
    </row>
    <row r="466">
      <c r="A466" s="267" t="n"/>
      <c r="B466" s="267" t="n"/>
      <c r="C466" s="267" t="n"/>
      <c r="D466" s="267" t="n"/>
      <c r="E466" s="267" t="n"/>
      <c r="F466" s="267" t="n"/>
      <c r="G466" s="268" t="n"/>
      <c r="H466" s="268" t="n"/>
      <c r="I466" s="109" t="n"/>
      <c r="J466" s="268" t="n"/>
    </row>
    <row r="467">
      <c r="A467" s="267" t="n"/>
      <c r="B467" s="267" t="n"/>
      <c r="C467" s="267" t="n"/>
      <c r="D467" s="267" t="n"/>
      <c r="E467" s="267" t="n"/>
      <c r="F467" s="267" t="n"/>
      <c r="G467" s="268" t="n"/>
      <c r="H467" s="268" t="n"/>
      <c r="I467" s="109" t="n"/>
      <c r="J467" s="268" t="n"/>
    </row>
    <row r="468">
      <c r="A468" s="267" t="n"/>
      <c r="B468" s="267" t="n"/>
      <c r="C468" s="267" t="n"/>
      <c r="D468" s="267" t="n"/>
      <c r="E468" s="267" t="n"/>
      <c r="F468" s="267" t="n"/>
      <c r="G468" s="268" t="n"/>
      <c r="H468" s="268" t="n"/>
      <c r="I468" s="109" t="n"/>
      <c r="J468" s="268" t="n"/>
    </row>
    <row r="469">
      <c r="A469" s="267" t="n"/>
      <c r="B469" s="267" t="n"/>
      <c r="C469" s="267" t="n"/>
      <c r="D469" s="267" t="n"/>
      <c r="E469" s="267" t="n"/>
      <c r="F469" s="267" t="n"/>
      <c r="G469" s="268" t="n"/>
      <c r="H469" s="268" t="n"/>
      <c r="I469" s="109" t="n"/>
      <c r="J469" s="268" t="n"/>
    </row>
    <row r="470">
      <c r="A470" s="267" t="n"/>
      <c r="B470" s="267" t="n"/>
      <c r="C470" s="267" t="n"/>
      <c r="D470" s="267" t="n"/>
      <c r="E470" s="267" t="n"/>
      <c r="F470" s="267" t="n"/>
      <c r="G470" s="268" t="n"/>
      <c r="H470" s="268" t="n"/>
      <c r="I470" s="109" t="n"/>
      <c r="J470" s="268" t="n"/>
    </row>
    <row r="471">
      <c r="A471" s="267" t="n"/>
      <c r="B471" s="267" t="n"/>
      <c r="C471" s="267" t="n"/>
      <c r="D471" s="267" t="n"/>
      <c r="E471" s="267" t="n"/>
      <c r="F471" s="267" t="n"/>
      <c r="G471" s="268" t="n"/>
      <c r="H471" s="268" t="n"/>
      <c r="I471" s="109" t="n"/>
      <c r="J471" s="268" t="n"/>
    </row>
    <row r="472">
      <c r="A472" s="267" t="n"/>
      <c r="B472" s="267" t="n"/>
      <c r="C472" s="267" t="n"/>
      <c r="D472" s="267" t="n"/>
      <c r="E472" s="267" t="n"/>
      <c r="F472" s="267" t="n"/>
      <c r="G472" s="268" t="n"/>
      <c r="H472" s="268" t="n"/>
      <c r="I472" s="109" t="n"/>
      <c r="J472" s="268" t="n"/>
    </row>
    <row r="473">
      <c r="A473" s="267" t="n"/>
      <c r="B473" s="267" t="n"/>
      <c r="C473" s="267" t="n"/>
      <c r="D473" s="267" t="n"/>
      <c r="E473" s="267" t="n"/>
      <c r="F473" s="267" t="n"/>
      <c r="G473" s="268" t="n"/>
      <c r="H473" s="268" t="n"/>
      <c r="I473" s="109" t="n"/>
      <c r="J473" s="268" t="n"/>
    </row>
    <row r="474">
      <c r="A474" s="267" t="n"/>
      <c r="B474" s="267" t="n"/>
      <c r="C474" s="267" t="n"/>
      <c r="D474" s="267" t="n"/>
      <c r="E474" s="267" t="n"/>
      <c r="F474" s="267" t="n"/>
      <c r="G474" s="268" t="n"/>
      <c r="H474" s="268" t="n"/>
      <c r="I474" s="109" t="n"/>
      <c r="J474" s="268" t="n"/>
    </row>
    <row r="475">
      <c r="A475" s="267" t="n"/>
      <c r="B475" s="267" t="n"/>
      <c r="C475" s="267" t="n"/>
      <c r="D475" s="267" t="n"/>
      <c r="E475" s="267" t="n"/>
      <c r="F475" s="267" t="n"/>
      <c r="G475" s="268" t="n"/>
      <c r="H475" s="268" t="n"/>
      <c r="I475" s="109" t="n"/>
      <c r="J475" s="268" t="n"/>
    </row>
    <row r="476">
      <c r="A476" s="267" t="n"/>
      <c r="B476" s="267" t="n"/>
      <c r="C476" s="267" t="n"/>
      <c r="D476" s="267" t="n"/>
      <c r="E476" s="267" t="n"/>
      <c r="F476" s="267" t="n"/>
      <c r="G476" s="268" t="n"/>
      <c r="H476" s="268" t="n"/>
      <c r="I476" s="109" t="n"/>
      <c r="J476" s="268" t="n"/>
    </row>
    <row r="477">
      <c r="A477" s="267" t="n"/>
      <c r="B477" s="267" t="n"/>
      <c r="C477" s="267" t="n"/>
      <c r="D477" s="267" t="n"/>
      <c r="E477" s="267" t="n"/>
      <c r="F477" s="267" t="n"/>
      <c r="G477" s="268" t="n"/>
      <c r="H477" s="268" t="n"/>
      <c r="I477" s="109" t="n"/>
      <c r="J477" s="268" t="n"/>
    </row>
    <row r="478">
      <c r="A478" s="267" t="n"/>
      <c r="B478" s="267" t="n"/>
      <c r="C478" s="267" t="n"/>
      <c r="D478" s="267" t="n"/>
      <c r="E478" s="267" t="n"/>
      <c r="F478" s="267" t="n"/>
      <c r="G478" s="268" t="n"/>
      <c r="H478" s="268" t="n"/>
      <c r="I478" s="109" t="n"/>
      <c r="J478" s="268" t="n"/>
    </row>
    <row r="479">
      <c r="A479" s="267" t="n"/>
      <c r="B479" s="267" t="n"/>
      <c r="C479" s="267" t="n"/>
      <c r="D479" s="267" t="n"/>
      <c r="E479" s="267" t="n"/>
      <c r="F479" s="267" t="n"/>
      <c r="G479" s="268" t="n"/>
      <c r="H479" s="268" t="n"/>
      <c r="I479" s="109" t="n"/>
      <c r="J479" s="268" t="n"/>
    </row>
    <row r="480">
      <c r="A480" s="267" t="n"/>
      <c r="B480" s="267" t="n"/>
      <c r="C480" s="267" t="n"/>
      <c r="D480" s="267" t="n"/>
      <c r="E480" s="267" t="n"/>
      <c r="F480" s="267" t="n"/>
      <c r="G480" s="268" t="n"/>
      <c r="H480" s="268" t="n"/>
      <c r="I480" s="109" t="n"/>
      <c r="J480" s="268" t="n"/>
    </row>
    <row r="481">
      <c r="A481" s="267" t="n"/>
      <c r="B481" s="267" t="n"/>
      <c r="C481" s="267" t="n"/>
      <c r="D481" s="267" t="n"/>
      <c r="E481" s="267" t="n"/>
      <c r="F481" s="267" t="n"/>
      <c r="G481" s="268" t="n"/>
      <c r="H481" s="268" t="n"/>
      <c r="I481" s="109" t="n"/>
      <c r="J481" s="268" t="n"/>
    </row>
    <row r="482">
      <c r="A482" s="267" t="n"/>
      <c r="B482" s="267" t="n"/>
      <c r="C482" s="267" t="n"/>
      <c r="D482" s="267" t="n"/>
      <c r="E482" s="267" t="n"/>
      <c r="F482" s="267" t="n"/>
      <c r="G482" s="268" t="n"/>
      <c r="H482" s="268" t="n"/>
      <c r="I482" s="109" t="n"/>
      <c r="J482" s="268" t="n"/>
    </row>
    <row r="483">
      <c r="A483" s="267" t="n"/>
      <c r="B483" s="267" t="n"/>
      <c r="C483" s="267" t="n"/>
      <c r="D483" s="267" t="n"/>
      <c r="E483" s="267" t="n"/>
      <c r="F483" s="267" t="n"/>
      <c r="G483" s="268" t="n"/>
      <c r="H483" s="268" t="n"/>
      <c r="I483" s="109" t="n"/>
      <c r="J483" s="268" t="n"/>
    </row>
    <row r="484">
      <c r="A484" s="267" t="n"/>
      <c r="B484" s="267" t="n"/>
      <c r="C484" s="267" t="n"/>
      <c r="D484" s="267" t="n"/>
      <c r="E484" s="267" t="n"/>
      <c r="F484" s="267" t="n"/>
      <c r="G484" s="268" t="n"/>
      <c r="H484" s="268" t="n"/>
      <c r="I484" s="109" t="n"/>
      <c r="J484" s="268" t="n"/>
    </row>
    <row r="485">
      <c r="A485" s="267" t="n"/>
      <c r="B485" s="267" t="n"/>
      <c r="C485" s="267" t="n"/>
      <c r="D485" s="267" t="n"/>
      <c r="E485" s="267" t="n"/>
      <c r="F485" s="267" t="n"/>
      <c r="G485" s="268" t="n"/>
      <c r="H485" s="268" t="n"/>
      <c r="I485" s="109" t="n"/>
      <c r="J485" s="268" t="n"/>
    </row>
    <row r="486">
      <c r="A486" s="267" t="n"/>
      <c r="B486" s="267" t="n"/>
      <c r="C486" s="267" t="n"/>
      <c r="D486" s="267" t="n"/>
      <c r="E486" s="267" t="n"/>
      <c r="F486" s="267" t="n"/>
      <c r="G486" s="268" t="n"/>
      <c r="H486" s="268" t="n"/>
      <c r="I486" s="109" t="n"/>
      <c r="J486" s="268" t="n"/>
    </row>
    <row r="487">
      <c r="A487" s="267" t="n"/>
      <c r="B487" s="267" t="n"/>
      <c r="C487" s="267" t="n"/>
      <c r="D487" s="267" t="n"/>
      <c r="E487" s="267" t="n"/>
      <c r="F487" s="267" t="n"/>
      <c r="G487" s="268" t="n"/>
      <c r="H487" s="268" t="n"/>
      <c r="I487" s="109" t="n"/>
      <c r="J487" s="268" t="n"/>
    </row>
    <row r="488">
      <c r="A488" s="267" t="n"/>
      <c r="B488" s="267" t="n"/>
      <c r="C488" s="267" t="n"/>
      <c r="D488" s="267" t="n"/>
      <c r="E488" s="267" t="n"/>
      <c r="F488" s="267" t="n"/>
      <c r="G488" s="268" t="n"/>
      <c r="H488" s="268" t="n"/>
      <c r="I488" s="109" t="n"/>
      <c r="J488" s="268" t="n"/>
    </row>
    <row r="489">
      <c r="A489" s="267" t="n"/>
      <c r="B489" s="267" t="n"/>
      <c r="C489" s="267" t="n"/>
      <c r="D489" s="267" t="n"/>
      <c r="E489" s="267" t="n"/>
      <c r="F489" s="267" t="n"/>
      <c r="G489" s="268" t="n"/>
      <c r="H489" s="268" t="n"/>
      <c r="I489" s="109" t="n"/>
      <c r="J489" s="268" t="n"/>
    </row>
    <row r="490">
      <c r="A490" s="267" t="n"/>
      <c r="B490" s="267" t="n"/>
      <c r="C490" s="267" t="n"/>
      <c r="D490" s="267" t="n"/>
      <c r="E490" s="267" t="n"/>
      <c r="F490" s="267" t="n"/>
      <c r="G490" s="268" t="n"/>
      <c r="H490" s="268" t="n"/>
      <c r="I490" s="109" t="n"/>
      <c r="J490" s="268" t="n"/>
    </row>
    <row r="491">
      <c r="A491" s="267" t="n"/>
      <c r="B491" s="267" t="n"/>
      <c r="C491" s="267" t="n"/>
      <c r="D491" s="267" t="n"/>
      <c r="E491" s="267" t="n"/>
      <c r="F491" s="267" t="n"/>
      <c r="G491" s="268" t="n"/>
      <c r="H491" s="268" t="n"/>
      <c r="I491" s="109" t="n"/>
      <c r="J491" s="268" t="n"/>
    </row>
    <row r="492">
      <c r="A492" s="267" t="n"/>
      <c r="B492" s="267" t="n"/>
      <c r="C492" s="267" t="n"/>
      <c r="D492" s="267" t="n"/>
      <c r="E492" s="267" t="n"/>
      <c r="F492" s="267" t="n"/>
      <c r="G492" s="268" t="n"/>
      <c r="H492" s="268" t="n"/>
      <c r="I492" s="109" t="n"/>
      <c r="J492" s="268" t="n"/>
    </row>
    <row r="493">
      <c r="A493" s="267" t="n"/>
      <c r="B493" s="267" t="n"/>
      <c r="C493" s="267" t="n"/>
      <c r="D493" s="267" t="n"/>
      <c r="E493" s="267" t="n"/>
      <c r="F493" s="267" t="n"/>
      <c r="G493" s="268" t="n"/>
      <c r="H493" s="268" t="n"/>
      <c r="I493" s="109" t="n"/>
      <c r="J493" s="268" t="n"/>
    </row>
    <row r="494">
      <c r="A494" s="267" t="n"/>
      <c r="B494" s="267" t="n"/>
      <c r="C494" s="267" t="n"/>
      <c r="D494" s="267" t="n"/>
      <c r="E494" s="267" t="n"/>
      <c r="F494" s="267" t="n"/>
      <c r="G494" s="268" t="n"/>
      <c r="H494" s="268" t="n"/>
      <c r="I494" s="109" t="n"/>
      <c r="J494" s="268" t="n"/>
    </row>
    <row r="495">
      <c r="A495" s="267" t="n"/>
      <c r="B495" s="267" t="n"/>
      <c r="C495" s="267" t="n"/>
      <c r="D495" s="267" t="n"/>
      <c r="E495" s="267" t="n"/>
      <c r="F495" s="267" t="n"/>
      <c r="G495" s="268" t="n"/>
      <c r="H495" s="268" t="n"/>
      <c r="I495" s="109" t="n"/>
      <c r="J495" s="268" t="n"/>
    </row>
    <row r="496">
      <c r="A496" s="267" t="n"/>
      <c r="B496" s="267" t="n"/>
      <c r="C496" s="267" t="n"/>
      <c r="D496" s="267" t="n"/>
      <c r="E496" s="267" t="n"/>
      <c r="F496" s="267" t="n"/>
      <c r="G496" s="268" t="n"/>
      <c r="H496" s="268" t="n"/>
      <c r="I496" s="109" t="n"/>
      <c r="J496" s="268" t="n"/>
    </row>
    <row r="497">
      <c r="A497" s="267" t="n"/>
      <c r="B497" s="267" t="n"/>
      <c r="C497" s="267" t="n"/>
      <c r="D497" s="267" t="n"/>
      <c r="E497" s="267" t="n"/>
      <c r="F497" s="267" t="n"/>
      <c r="G497" s="268" t="n"/>
      <c r="H497" s="268" t="n"/>
      <c r="I497" s="109" t="n"/>
      <c r="J497" s="268" t="n"/>
    </row>
  </sheetData>
  <autoFilter ref="$A$3:$F$500"/>
  <mergeCells count="1">
    <mergeCell ref="A1:F1"/>
  </mergeCells>
  <dataValidations count="2">
    <dataValidation sqref="C4:C500" showDropDown="0" showInputMessage="0" showErrorMessage="1" allowBlank="1" type="list">
      <formula1>InstanciasAvaliacao</formula1>
    </dataValidation>
    <dataValidation sqref="A4:A500" showDropDown="0" showInputMessage="0" showErrorMessage="1" allowBlank="1" type="list">
      <formula1>SelecaoEntrevista</formula1>
    </dataValidation>
  </dataValidations>
  <pageMargins left="0.75" right="0.75" top="1" bottom="1" header="0.5" footer="0.5"/>
</worksheet>
</file>

<file path=xl/worksheets/sheet9.xml><?xml version="1.0" encoding="utf-8"?>
<worksheet xmlns="http://schemas.openxmlformats.org/spreadsheetml/2006/main">
  <sheetPr>
    <tabColor rgb="FFFF9900"/>
    <outlinePr summaryBelow="0" summaryRight="0"/>
    <pageSetUpPr/>
  </sheetPr>
  <dimension ref="A1:F102"/>
  <sheetViews>
    <sheetView showGridLines="0" workbookViewId="0">
      <pane ySplit="3" topLeftCell="A4" activePane="bottomLeft" state="frozen"/>
      <selection pane="bottomLeft" activeCell="B5" sqref="B5"/>
    </sheetView>
  </sheetViews>
  <sheetFormatPr baseColWidth="8" defaultColWidth="12.63" defaultRowHeight="15.75" customHeight="1"/>
  <cols>
    <col width="14.88" customWidth="1" style="384" min="1" max="1"/>
    <col width="21.38" customWidth="1" style="384" min="2" max="2"/>
    <col width="33.88" customWidth="1" style="384" min="3" max="3"/>
    <col width="31.88" customWidth="1" style="384" min="4" max="4"/>
    <col width="21.38" customWidth="1" style="384" min="5" max="5"/>
    <col width="17" customWidth="1" style="384" min="6" max="6"/>
  </cols>
  <sheetData>
    <row r="1">
      <c r="A1" s="78" t="n"/>
      <c r="B1" s="78" t="inlineStr">
        <is>
          <t>EQUIPE ENVOLVIDA COM OS PROCESSOS ORGANIZACIONAIS</t>
        </is>
      </c>
    </row>
    <row r="2" ht="6" customHeight="1" s="384">
      <c r="A2" s="268" t="n"/>
      <c r="B2" s="268" t="n"/>
      <c r="C2" s="268" t="n"/>
      <c r="D2" s="268" t="n"/>
      <c r="E2" s="268" t="n"/>
      <c r="F2" s="268" t="n"/>
    </row>
    <row r="3">
      <c r="A3" s="120" t="inlineStr">
        <is>
          <t>Seleção
Entrevista</t>
        </is>
      </c>
      <c r="B3" s="120" t="inlineStr">
        <is>
          <t xml:space="preserve">Nome </t>
        </is>
      </c>
      <c r="C3" s="120" t="inlineStr">
        <is>
          <t>Processo organizacional da UO</t>
        </is>
      </c>
      <c r="D3" s="120" t="inlineStr">
        <is>
          <t>Papel no processo da UO</t>
        </is>
      </c>
      <c r="E3" s="120" t="inlineStr">
        <is>
          <t>Cargo organizacional</t>
        </is>
      </c>
      <c r="F3" s="120" t="inlineStr">
        <is>
          <t>Nome da Chefia</t>
        </is>
      </c>
    </row>
    <row r="4">
      <c r="A4" s="267" t="inlineStr">
        <is>
          <t>Sim</t>
        </is>
      </c>
      <c r="B4" s="31" t="inlineStr">
        <is>
          <t>Wilson Yamada</t>
        </is>
      </c>
      <c r="C4" s="31" t="inlineStr">
        <is>
          <t>OSW — Gerência Organizacional de Software</t>
        </is>
      </c>
      <c r="D4" s="31" t="inlineStr">
        <is>
          <t>COO / Responsável OSW e Portfólio</t>
        </is>
      </c>
      <c r="E4" s="31" t="inlineStr">
        <is>
          <t>COO (Chief Operating Officer)</t>
        </is>
      </c>
      <c r="F4" s="31" t="inlineStr">
        <is>
          <t>Tiago Barbosa Nascimento</t>
        </is>
      </c>
    </row>
    <row r="5">
      <c r="A5" s="267" t="inlineStr">
        <is>
          <t>Sim</t>
        </is>
      </c>
      <c r="B5" s="31" t="inlineStr">
        <is>
          <t>Silvio Baroni</t>
        </is>
      </c>
      <c r="C5" s="31" t="inlineStr">
        <is>
          <t>GPC — Gerência de Processos</t>
        </is>
      </c>
      <c r="D5" s="31" t="inlineStr">
        <is>
          <t>Coordenador do Time de Melhoria Contínua (SEPG)</t>
        </is>
      </c>
      <c r="E5" s="31" t="inlineStr">
        <is>
          <t>Gerente de Produto Sênior</t>
        </is>
      </c>
      <c r="F5" s="31" t="inlineStr">
        <is>
          <t>Wilson Yamada</t>
        </is>
      </c>
    </row>
    <row r="6">
      <c r="A6" s="267" t="inlineStr">
        <is>
          <t>Sim</t>
        </is>
      </c>
      <c r="B6" s="31" t="inlineStr">
        <is>
          <t>Silvio Baroni</t>
        </is>
      </c>
      <c r="C6" s="31" t="inlineStr">
        <is>
          <t>MED — Medição</t>
        </is>
      </c>
      <c r="D6" s="31" t="inlineStr">
        <is>
          <t>Responsável de Medição</t>
        </is>
      </c>
      <c r="E6" s="31" t="inlineStr">
        <is>
          <t>Gerente de Produto Sênior</t>
        </is>
      </c>
      <c r="F6" s="31" t="inlineStr">
        <is>
          <t>Wilson Yamada</t>
        </is>
      </c>
    </row>
    <row r="7">
      <c r="A7" s="267" t="inlineStr">
        <is>
          <t>Sim</t>
        </is>
      </c>
      <c r="B7" s="31" t="inlineStr">
        <is>
          <t>Abraão Oliveira</t>
        </is>
      </c>
      <c r="C7" s="31" t="inlineStr">
        <is>
          <t>GPC — Gerência de Processos</t>
        </is>
      </c>
      <c r="D7" s="31" t="inlineStr">
        <is>
          <t>Membro do Time de Melhoria Contínua (SEPG)</t>
        </is>
      </c>
      <c r="E7" s="31" t="inlineStr">
        <is>
          <t>Gerente de Projetos</t>
        </is>
      </c>
      <c r="F7" s="31" t="inlineStr">
        <is>
          <t>Wilson Yamada</t>
        </is>
      </c>
    </row>
    <row r="8">
      <c r="A8" s="267" t="inlineStr">
        <is>
          <t>Sim</t>
        </is>
      </c>
      <c r="B8" s="267" t="inlineStr">
        <is>
          <t>Caroline Jenifer</t>
        </is>
      </c>
      <c r="C8" s="267" t="inlineStr">
        <is>
          <t>GPC — Gerência de Processos</t>
        </is>
      </c>
      <c r="D8" s="267" t="inlineStr">
        <is>
          <t>GQA — Garantia da Qualidade de Processo (independente)</t>
        </is>
      </c>
      <c r="E8" s="267" t="inlineStr">
        <is>
          <t>Analista de QA Sênior</t>
        </is>
      </c>
      <c r="F8" s="267" t="inlineStr">
        <is>
          <t>Abraão Oliveira</t>
        </is>
      </c>
    </row>
    <row r="9">
      <c r="A9" s="267" t="inlineStr">
        <is>
          <t>Sim</t>
        </is>
      </c>
      <c r="B9" s="267" t="inlineStr">
        <is>
          <t>Flávio Fernandes</t>
        </is>
      </c>
      <c r="C9" s="267" t="inlineStr">
        <is>
          <t>GCO — Gerência de Configuração</t>
        </is>
      </c>
      <c r="D9" s="267" t="inlineStr">
        <is>
          <t>DevOps / GCO Baseline e Auditoria</t>
        </is>
      </c>
      <c r="E9" s="267" t="inlineStr">
        <is>
          <t>Engenheiro DevOps</t>
        </is>
      </c>
      <c r="F9" s="267" t="inlineStr">
        <is>
          <t>Cézar Hiraki Velázquez</t>
        </is>
      </c>
    </row>
    <row r="10">
      <c r="A10" s="267" t="inlineStr">
        <is>
          <t>Sim</t>
        </is>
      </c>
      <c r="B10" s="267" t="inlineStr">
        <is>
          <t>Guilherme Gomes</t>
        </is>
      </c>
      <c r="C10" s="267" t="inlineStr">
        <is>
          <t>CAP — Capacitação</t>
        </is>
      </c>
      <c r="D10" s="267" t="inlineStr">
        <is>
          <t>Responsável de RH / Capacitação</t>
        </is>
      </c>
      <c r="E10" s="267" t="inlineStr">
        <is>
          <t>Analista de RH</t>
        </is>
      </c>
      <c r="F10" s="267" t="inlineStr">
        <is>
          <t>Wilson Yamada</t>
        </is>
      </c>
    </row>
    <row r="11">
      <c r="A11" s="267" t="inlineStr">
        <is>
          <t>Não</t>
        </is>
      </c>
      <c r="B11" s="267" t="inlineStr">
        <is>
          <t>Klayton Roberto</t>
        </is>
      </c>
      <c r="C11" s="267" t="inlineStr">
        <is>
          <t>CAP — Capacitação</t>
        </is>
      </c>
      <c r="D11" s="267" t="inlineStr">
        <is>
          <t>Apoio RH / Capacitação</t>
        </is>
      </c>
      <c r="E11" s="267" t="inlineStr">
        <is>
          <t>Analista de RH</t>
        </is>
      </c>
      <c r="F11" s="267" t="inlineStr">
        <is>
          <t>Guilherme Gomes</t>
        </is>
      </c>
    </row>
    <row r="12">
      <c r="A12" s="267" t="inlineStr">
        <is>
          <t>Não</t>
        </is>
      </c>
      <c r="B12" s="267" t="inlineStr">
        <is>
          <t>Patricia Lima</t>
        </is>
      </c>
      <c r="C12" s="267" t="inlineStr">
        <is>
          <t>GPC — Gerência de Processos</t>
        </is>
      </c>
      <c r="D12" s="267" t="inlineStr">
        <is>
          <t>Membro do Time de Melhoria Contínua (SEPG)</t>
        </is>
      </c>
      <c r="E12" s="267" t="inlineStr">
        <is>
          <t>Analista de Processos</t>
        </is>
      </c>
      <c r="F12" s="267" t="inlineStr">
        <is>
          <t>Silvio Baroni</t>
        </is>
      </c>
    </row>
    <row r="13">
      <c r="A13" s="267" t="inlineStr">
        <is>
          <t>Não</t>
        </is>
      </c>
      <c r="B13" s="267" t="inlineStr">
        <is>
          <t>Mariana Teixeira</t>
        </is>
      </c>
      <c r="C13" s="267" t="inlineStr">
        <is>
          <t>GPC — Gerência de Processos</t>
        </is>
      </c>
      <c r="D13" s="267" t="inlineStr">
        <is>
          <t>Membro do Time de Melhoria Contínua (SEPG)</t>
        </is>
      </c>
      <c r="E13" s="267" t="inlineStr">
        <is>
          <t>Analista de Processos</t>
        </is>
      </c>
      <c r="F13" s="267" t="inlineStr">
        <is>
          <t>Silvio Baroni</t>
        </is>
      </c>
    </row>
    <row r="14">
      <c r="A14" s="267" t="n"/>
      <c r="B14" s="267" t="n"/>
      <c r="C14" s="267" t="n"/>
      <c r="D14" s="267" t="n"/>
      <c r="E14" s="267" t="n"/>
      <c r="F14" s="267" t="n"/>
    </row>
    <row r="15">
      <c r="A15" s="267" t="n"/>
      <c r="B15" s="267" t="n"/>
      <c r="C15" s="267" t="n"/>
      <c r="D15" s="267" t="n"/>
      <c r="E15" s="267" t="n"/>
      <c r="F15" s="267" t="n"/>
    </row>
    <row r="16">
      <c r="A16" s="267" t="n"/>
      <c r="B16" s="267" t="n"/>
      <c r="C16" s="267" t="n"/>
      <c r="D16" s="267" t="n"/>
      <c r="E16" s="267" t="n"/>
      <c r="F16" s="267" t="n"/>
    </row>
    <row r="17">
      <c r="A17" s="267" t="n"/>
      <c r="B17" s="267" t="n"/>
      <c r="C17" s="267" t="n"/>
      <c r="D17" s="267" t="n"/>
      <c r="E17" s="267" t="n"/>
      <c r="F17" s="267" t="n"/>
    </row>
    <row r="18">
      <c r="A18" s="267" t="n"/>
      <c r="B18" s="267" t="n"/>
      <c r="C18" s="267" t="n"/>
      <c r="D18" s="267" t="n"/>
      <c r="E18" s="267" t="n"/>
      <c r="F18" s="267" t="n"/>
    </row>
    <row r="19">
      <c r="A19" s="267" t="n"/>
      <c r="B19" s="267" t="n"/>
      <c r="C19" s="267" t="n"/>
      <c r="D19" s="267" t="n"/>
      <c r="E19" s="267" t="n"/>
      <c r="F19" s="267" t="n"/>
    </row>
    <row r="20">
      <c r="A20" s="267" t="n"/>
      <c r="B20" s="267" t="n"/>
      <c r="C20" s="267" t="n"/>
      <c r="D20" s="267" t="n"/>
      <c r="E20" s="267" t="n"/>
      <c r="F20" s="267" t="n"/>
    </row>
    <row r="21">
      <c r="A21" s="267" t="n"/>
      <c r="B21" s="267" t="n"/>
      <c r="C21" s="267" t="n"/>
      <c r="D21" s="267" t="n"/>
      <c r="E21" s="267" t="n"/>
      <c r="F21" s="267" t="n"/>
    </row>
    <row r="22">
      <c r="A22" s="267" t="n"/>
      <c r="B22" s="267" t="n"/>
      <c r="C22" s="267" t="n"/>
      <c r="D22" s="267" t="n"/>
      <c r="E22" s="267" t="n"/>
      <c r="F22" s="267" t="n"/>
    </row>
    <row r="23">
      <c r="A23" s="267" t="n"/>
      <c r="B23" s="267" t="n"/>
      <c r="C23" s="267" t="n"/>
      <c r="D23" s="267" t="n"/>
      <c r="E23" s="267" t="n"/>
      <c r="F23" s="267" t="n"/>
    </row>
    <row r="24">
      <c r="A24" s="267" t="n"/>
      <c r="B24" s="267" t="n"/>
      <c r="C24" s="267" t="n"/>
      <c r="D24" s="267" t="n"/>
      <c r="E24" s="267" t="n"/>
      <c r="F24" s="267" t="n"/>
    </row>
    <row r="25">
      <c r="A25" s="267" t="n"/>
      <c r="B25" s="267" t="n"/>
      <c r="C25" s="267" t="n"/>
      <c r="D25" s="267" t="n"/>
      <c r="E25" s="267" t="n"/>
      <c r="F25" s="267" t="n"/>
    </row>
    <row r="26">
      <c r="A26" s="267" t="n"/>
      <c r="B26" s="267" t="n"/>
      <c r="C26" s="267" t="n"/>
      <c r="D26" s="267" t="n"/>
      <c r="E26" s="267" t="n"/>
      <c r="F26" s="267" t="n"/>
    </row>
    <row r="27">
      <c r="A27" s="267" t="n"/>
      <c r="B27" s="267" t="n"/>
      <c r="C27" s="267" t="n"/>
      <c r="D27" s="267" t="n"/>
      <c r="E27" s="267" t="n"/>
      <c r="F27" s="267" t="n"/>
    </row>
    <row r="28">
      <c r="A28" s="267" t="n"/>
      <c r="B28" s="267" t="n"/>
      <c r="C28" s="267" t="n"/>
      <c r="D28" s="267" t="n"/>
      <c r="E28" s="267" t="n"/>
      <c r="F28" s="267" t="n"/>
    </row>
    <row r="29">
      <c r="A29" s="267" t="n"/>
      <c r="B29" s="267" t="n"/>
      <c r="C29" s="267" t="n"/>
      <c r="D29" s="267" t="n"/>
      <c r="E29" s="267" t="n"/>
      <c r="F29" s="267" t="n"/>
    </row>
    <row r="30">
      <c r="A30" s="267" t="n"/>
      <c r="B30" s="267" t="n"/>
      <c r="C30" s="267" t="n"/>
      <c r="D30" s="267" t="n"/>
      <c r="E30" s="267" t="n"/>
      <c r="F30" s="267" t="n"/>
    </row>
    <row r="31">
      <c r="A31" s="267" t="n"/>
      <c r="B31" s="267" t="n"/>
      <c r="C31" s="267" t="n"/>
      <c r="D31" s="267" t="n"/>
      <c r="E31" s="267" t="n"/>
      <c r="F31" s="267" t="n"/>
    </row>
    <row r="32">
      <c r="A32" s="267" t="n"/>
      <c r="B32" s="267" t="n"/>
      <c r="C32" s="267" t="n"/>
      <c r="D32" s="267" t="n"/>
      <c r="E32" s="267" t="n"/>
      <c r="F32" s="267" t="n"/>
    </row>
    <row r="33">
      <c r="A33" s="267" t="n"/>
      <c r="B33" s="267" t="n"/>
      <c r="C33" s="267" t="n"/>
      <c r="D33" s="267" t="n"/>
      <c r="E33" s="267" t="n"/>
      <c r="F33" s="267" t="n"/>
    </row>
    <row r="34">
      <c r="A34" s="267" t="n"/>
      <c r="B34" s="267" t="n"/>
      <c r="C34" s="267" t="n"/>
      <c r="D34" s="267" t="n"/>
      <c r="E34" s="267" t="n"/>
      <c r="F34" s="267" t="n"/>
    </row>
    <row r="35">
      <c r="A35" s="267" t="n"/>
      <c r="B35" s="267" t="n"/>
      <c r="C35" s="267" t="n"/>
      <c r="D35" s="267" t="n"/>
      <c r="E35" s="267" t="n"/>
      <c r="F35" s="267" t="n"/>
    </row>
    <row r="36">
      <c r="A36" s="267" t="n"/>
      <c r="B36" s="267" t="n"/>
      <c r="C36" s="267" t="n"/>
      <c r="D36" s="267" t="n"/>
      <c r="E36" s="267" t="n"/>
      <c r="F36" s="267" t="n"/>
    </row>
    <row r="37">
      <c r="A37" s="267" t="n"/>
      <c r="B37" s="267" t="n"/>
      <c r="C37" s="267" t="n"/>
      <c r="D37" s="267" t="n"/>
      <c r="E37" s="267" t="n"/>
      <c r="F37" s="267" t="n"/>
    </row>
    <row r="38">
      <c r="A38" s="267" t="n"/>
      <c r="B38" s="267" t="n"/>
      <c r="C38" s="267" t="n"/>
      <c r="D38" s="267" t="n"/>
      <c r="E38" s="267" t="n"/>
      <c r="F38" s="267" t="n"/>
    </row>
    <row r="39">
      <c r="A39" s="267" t="n"/>
      <c r="B39" s="267" t="n"/>
      <c r="C39" s="267" t="n"/>
      <c r="D39" s="267" t="n"/>
      <c r="E39" s="267" t="n"/>
      <c r="F39" s="267" t="n"/>
    </row>
    <row r="40">
      <c r="A40" s="267" t="n"/>
      <c r="B40" s="267" t="n"/>
      <c r="C40" s="267" t="n"/>
      <c r="D40" s="267" t="n"/>
      <c r="E40" s="267" t="n"/>
      <c r="F40" s="267" t="n"/>
    </row>
    <row r="41">
      <c r="A41" s="267" t="n"/>
      <c r="B41" s="267" t="n"/>
      <c r="C41" s="267" t="n"/>
      <c r="D41" s="267" t="n"/>
      <c r="E41" s="267" t="n"/>
      <c r="F41" s="267" t="n"/>
    </row>
    <row r="42">
      <c r="A42" s="267" t="n"/>
      <c r="B42" s="267" t="n"/>
      <c r="C42" s="267" t="n"/>
      <c r="D42" s="267" t="n"/>
      <c r="E42" s="267" t="n"/>
      <c r="F42" s="267" t="n"/>
    </row>
    <row r="43">
      <c r="A43" s="267" t="n"/>
      <c r="B43" s="267" t="n"/>
      <c r="C43" s="267" t="n"/>
      <c r="D43" s="267" t="n"/>
      <c r="E43" s="267" t="n"/>
      <c r="F43" s="267" t="n"/>
    </row>
    <row r="44">
      <c r="A44" s="267" t="n"/>
      <c r="B44" s="267" t="n"/>
      <c r="C44" s="267" t="n"/>
      <c r="D44" s="267" t="n"/>
      <c r="E44" s="267" t="n"/>
      <c r="F44" s="267" t="n"/>
    </row>
    <row r="45">
      <c r="A45" s="267" t="n"/>
      <c r="B45" s="267" t="n"/>
      <c r="C45" s="267" t="n"/>
      <c r="D45" s="267" t="n"/>
      <c r="E45" s="267" t="n"/>
      <c r="F45" s="267" t="n"/>
    </row>
    <row r="46">
      <c r="A46" s="267" t="n"/>
      <c r="B46" s="267" t="n"/>
      <c r="C46" s="267" t="n"/>
      <c r="D46" s="267" t="n"/>
      <c r="E46" s="267" t="n"/>
      <c r="F46" s="267" t="n"/>
    </row>
    <row r="47">
      <c r="A47" s="267" t="n"/>
      <c r="B47" s="267" t="n"/>
      <c r="C47" s="267" t="n"/>
      <c r="D47" s="267" t="n"/>
      <c r="E47" s="267" t="n"/>
      <c r="F47" s="267" t="n"/>
    </row>
    <row r="48">
      <c r="A48" s="267" t="n"/>
      <c r="B48" s="267" t="n"/>
      <c r="C48" s="267" t="n"/>
      <c r="D48" s="267" t="n"/>
      <c r="E48" s="267" t="n"/>
      <c r="F48" s="267" t="n"/>
    </row>
    <row r="49">
      <c r="A49" s="267" t="n"/>
      <c r="B49" s="267" t="n"/>
      <c r="C49" s="267" t="n"/>
      <c r="D49" s="267" t="n"/>
      <c r="E49" s="267" t="n"/>
      <c r="F49" s="267" t="n"/>
    </row>
    <row r="50">
      <c r="A50" s="267" t="n"/>
      <c r="B50" s="267" t="n"/>
      <c r="C50" s="267" t="n"/>
      <c r="D50" s="267" t="n"/>
      <c r="E50" s="267" t="n"/>
      <c r="F50" s="267" t="n"/>
    </row>
    <row r="51">
      <c r="A51" s="267" t="n"/>
      <c r="B51" s="267" t="n"/>
      <c r="C51" s="267" t="n"/>
      <c r="D51" s="267" t="n"/>
      <c r="E51" s="267" t="n"/>
      <c r="F51" s="267" t="n"/>
    </row>
    <row r="52">
      <c r="A52" s="267" t="n"/>
      <c r="B52" s="267" t="n"/>
      <c r="C52" s="267" t="n"/>
      <c r="D52" s="267" t="n"/>
      <c r="E52" s="267" t="n"/>
      <c r="F52" s="267" t="n"/>
    </row>
    <row r="53">
      <c r="A53" s="267" t="n"/>
      <c r="B53" s="267" t="n"/>
      <c r="C53" s="267" t="n"/>
      <c r="D53" s="267" t="n"/>
      <c r="E53" s="267" t="n"/>
      <c r="F53" s="267" t="n"/>
    </row>
    <row r="54">
      <c r="A54" s="267" t="n"/>
      <c r="B54" s="267" t="n"/>
      <c r="C54" s="267" t="n"/>
      <c r="D54" s="267" t="n"/>
      <c r="E54" s="267" t="n"/>
      <c r="F54" s="267" t="n"/>
    </row>
    <row r="55">
      <c r="A55" s="267" t="n"/>
      <c r="B55" s="267" t="n"/>
      <c r="C55" s="267" t="n"/>
      <c r="D55" s="267" t="n"/>
      <c r="E55" s="267" t="n"/>
      <c r="F55" s="267" t="n"/>
    </row>
    <row r="56">
      <c r="A56" s="267" t="n"/>
      <c r="B56" s="267" t="n"/>
      <c r="C56" s="267" t="n"/>
      <c r="D56" s="267" t="n"/>
      <c r="E56" s="267" t="n"/>
      <c r="F56" s="267" t="n"/>
    </row>
    <row r="57">
      <c r="A57" s="267" t="n"/>
      <c r="B57" s="267" t="n"/>
      <c r="C57" s="267" t="n"/>
      <c r="D57" s="267" t="n"/>
      <c r="E57" s="267" t="n"/>
      <c r="F57" s="267" t="n"/>
    </row>
    <row r="58">
      <c r="A58" s="267" t="n"/>
      <c r="B58" s="267" t="n"/>
      <c r="C58" s="267" t="n"/>
      <c r="D58" s="267" t="n"/>
      <c r="E58" s="267" t="n"/>
      <c r="F58" s="267" t="n"/>
    </row>
    <row r="59">
      <c r="A59" s="267" t="n"/>
      <c r="B59" s="267" t="n"/>
      <c r="C59" s="267" t="n"/>
      <c r="D59" s="267" t="n"/>
      <c r="E59" s="267" t="n"/>
      <c r="F59" s="267" t="n"/>
    </row>
    <row r="60">
      <c r="A60" s="267" t="n"/>
      <c r="B60" s="267" t="n"/>
      <c r="C60" s="267" t="n"/>
      <c r="D60" s="267" t="n"/>
      <c r="E60" s="267" t="n"/>
      <c r="F60" s="267" t="n"/>
    </row>
    <row r="61">
      <c r="A61" s="267" t="n"/>
      <c r="B61" s="267" t="n"/>
      <c r="C61" s="267" t="n"/>
      <c r="D61" s="267" t="n"/>
      <c r="E61" s="267" t="n"/>
      <c r="F61" s="267" t="n"/>
    </row>
    <row r="62">
      <c r="A62" s="267" t="n"/>
      <c r="B62" s="267" t="n"/>
      <c r="C62" s="267" t="n"/>
      <c r="D62" s="267" t="n"/>
      <c r="E62" s="267" t="n"/>
      <c r="F62" s="267" t="n"/>
    </row>
    <row r="63">
      <c r="A63" s="267" t="n"/>
      <c r="B63" s="267" t="n"/>
      <c r="C63" s="267" t="n"/>
      <c r="D63" s="267" t="n"/>
      <c r="E63" s="267" t="n"/>
      <c r="F63" s="267" t="n"/>
    </row>
    <row r="64">
      <c r="A64" s="267" t="n"/>
      <c r="B64" s="267" t="n"/>
      <c r="C64" s="267" t="n"/>
      <c r="D64" s="267" t="n"/>
      <c r="E64" s="267" t="n"/>
      <c r="F64" s="267" t="n"/>
    </row>
    <row r="65">
      <c r="A65" s="267" t="n"/>
      <c r="B65" s="267" t="n"/>
      <c r="C65" s="267" t="n"/>
      <c r="D65" s="267" t="n"/>
      <c r="E65" s="267" t="n"/>
      <c r="F65" s="267" t="n"/>
    </row>
    <row r="66">
      <c r="A66" s="267" t="n"/>
      <c r="B66" s="267" t="n"/>
      <c r="C66" s="267" t="n"/>
      <c r="D66" s="267" t="n"/>
      <c r="E66" s="267" t="n"/>
      <c r="F66" s="267" t="n"/>
    </row>
    <row r="67">
      <c r="A67" s="267" t="n"/>
      <c r="B67" s="267" t="n"/>
      <c r="C67" s="267" t="n"/>
      <c r="D67" s="267" t="n"/>
      <c r="E67" s="267" t="n"/>
      <c r="F67" s="267" t="n"/>
    </row>
    <row r="68">
      <c r="A68" s="267" t="n"/>
      <c r="B68" s="267" t="n"/>
      <c r="C68" s="267" t="n"/>
      <c r="D68" s="267" t="n"/>
      <c r="E68" s="267" t="n"/>
      <c r="F68" s="267" t="n"/>
    </row>
    <row r="69">
      <c r="A69" s="267" t="n"/>
      <c r="B69" s="267" t="n"/>
      <c r="C69" s="267" t="n"/>
      <c r="D69" s="267" t="n"/>
      <c r="E69" s="267" t="n"/>
      <c r="F69" s="267" t="n"/>
    </row>
    <row r="70">
      <c r="A70" s="267" t="n"/>
      <c r="B70" s="267" t="n"/>
      <c r="C70" s="267" t="n"/>
      <c r="D70" s="267" t="n"/>
      <c r="E70" s="267" t="n"/>
      <c r="F70" s="267" t="n"/>
    </row>
    <row r="71">
      <c r="A71" s="267" t="n"/>
      <c r="B71" s="267" t="n"/>
      <c r="C71" s="267" t="n"/>
      <c r="D71" s="267" t="n"/>
      <c r="E71" s="267" t="n"/>
      <c r="F71" s="267" t="n"/>
    </row>
    <row r="72">
      <c r="A72" s="267" t="n"/>
      <c r="B72" s="267" t="n"/>
      <c r="C72" s="267" t="n"/>
      <c r="D72" s="267" t="n"/>
      <c r="E72" s="267" t="n"/>
      <c r="F72" s="267" t="n"/>
    </row>
    <row r="73">
      <c r="A73" s="267" t="n"/>
      <c r="B73" s="267" t="n"/>
      <c r="C73" s="267" t="n"/>
      <c r="D73" s="267" t="n"/>
      <c r="E73" s="267" t="n"/>
      <c r="F73" s="267" t="n"/>
    </row>
    <row r="74">
      <c r="A74" s="267" t="n"/>
      <c r="B74" s="267" t="n"/>
      <c r="C74" s="267" t="n"/>
      <c r="D74" s="267" t="n"/>
      <c r="E74" s="267" t="n"/>
      <c r="F74" s="267" t="n"/>
    </row>
    <row r="75">
      <c r="A75" s="267" t="n"/>
      <c r="B75" s="267" t="n"/>
      <c r="C75" s="267" t="n"/>
      <c r="D75" s="267" t="n"/>
      <c r="E75" s="267" t="n"/>
      <c r="F75" s="267" t="n"/>
    </row>
    <row r="76">
      <c r="A76" s="267" t="n"/>
      <c r="B76" s="267" t="n"/>
      <c r="C76" s="267" t="n"/>
      <c r="D76" s="267" t="n"/>
      <c r="E76" s="267" t="n"/>
      <c r="F76" s="267" t="n"/>
    </row>
    <row r="77">
      <c r="A77" s="267" t="n"/>
      <c r="B77" s="267" t="n"/>
      <c r="C77" s="267" t="n"/>
      <c r="D77" s="267" t="n"/>
      <c r="E77" s="267" t="n"/>
      <c r="F77" s="267" t="n"/>
    </row>
    <row r="78">
      <c r="A78" s="267" t="n"/>
      <c r="B78" s="267" t="n"/>
      <c r="C78" s="267" t="n"/>
      <c r="D78" s="267" t="n"/>
      <c r="E78" s="267" t="n"/>
      <c r="F78" s="267" t="n"/>
    </row>
    <row r="79">
      <c r="A79" s="267" t="n"/>
      <c r="B79" s="267" t="n"/>
      <c r="C79" s="267" t="n"/>
      <c r="D79" s="267" t="n"/>
      <c r="E79" s="267" t="n"/>
      <c r="F79" s="267" t="n"/>
    </row>
    <row r="80">
      <c r="A80" s="267" t="n"/>
      <c r="B80" s="267" t="n"/>
      <c r="C80" s="267" t="n"/>
      <c r="D80" s="267" t="n"/>
      <c r="E80" s="267" t="n"/>
      <c r="F80" s="267" t="n"/>
    </row>
    <row r="81">
      <c r="A81" s="267" t="n"/>
      <c r="B81" s="267" t="n"/>
      <c r="C81" s="267" t="n"/>
      <c r="D81" s="267" t="n"/>
      <c r="E81" s="267" t="n"/>
      <c r="F81" s="267" t="n"/>
    </row>
    <row r="82">
      <c r="A82" s="267" t="n"/>
      <c r="B82" s="267" t="n"/>
      <c r="C82" s="267" t="n"/>
      <c r="D82" s="267" t="n"/>
      <c r="E82" s="267" t="n"/>
      <c r="F82" s="267" t="n"/>
    </row>
    <row r="83">
      <c r="A83" s="267" t="n"/>
      <c r="B83" s="267" t="n"/>
      <c r="C83" s="267" t="n"/>
      <c r="D83" s="267" t="n"/>
      <c r="E83" s="267" t="n"/>
      <c r="F83" s="267" t="n"/>
    </row>
    <row r="84">
      <c r="A84" s="267" t="n"/>
      <c r="B84" s="267" t="n"/>
      <c r="C84" s="267" t="n"/>
      <c r="D84" s="267" t="n"/>
      <c r="E84" s="267" t="n"/>
      <c r="F84" s="267" t="n"/>
    </row>
    <row r="85">
      <c r="A85" s="267" t="n"/>
      <c r="B85" s="267" t="n"/>
      <c r="C85" s="267" t="n"/>
      <c r="D85" s="267" t="n"/>
      <c r="E85" s="267" t="n"/>
      <c r="F85" s="267" t="n"/>
    </row>
    <row r="86">
      <c r="A86" s="267" t="n"/>
      <c r="B86" s="267" t="n"/>
      <c r="C86" s="267" t="n"/>
      <c r="D86" s="267" t="n"/>
      <c r="E86" s="267" t="n"/>
      <c r="F86" s="267" t="n"/>
    </row>
    <row r="87">
      <c r="A87" s="267" t="n"/>
      <c r="B87" s="267" t="n"/>
      <c r="C87" s="267" t="n"/>
      <c r="D87" s="267" t="n"/>
      <c r="E87" s="267" t="n"/>
      <c r="F87" s="267" t="n"/>
    </row>
    <row r="88">
      <c r="A88" s="267" t="n"/>
      <c r="B88" s="267" t="n"/>
      <c r="C88" s="267" t="n"/>
      <c r="D88" s="267" t="n"/>
      <c r="E88" s="267" t="n"/>
      <c r="F88" s="267" t="n"/>
    </row>
    <row r="89">
      <c r="A89" s="267" t="n"/>
      <c r="B89" s="267" t="n"/>
      <c r="C89" s="267" t="n"/>
      <c r="D89" s="267" t="n"/>
      <c r="E89" s="267" t="n"/>
      <c r="F89" s="267" t="n"/>
    </row>
    <row r="90">
      <c r="A90" s="267" t="n"/>
      <c r="B90" s="267" t="n"/>
      <c r="C90" s="267" t="n"/>
      <c r="D90" s="267" t="n"/>
      <c r="E90" s="267" t="n"/>
      <c r="F90" s="267" t="n"/>
    </row>
    <row r="91">
      <c r="A91" s="267" t="n"/>
      <c r="B91" s="267" t="n"/>
      <c r="C91" s="267" t="n"/>
      <c r="D91" s="267" t="n"/>
      <c r="E91" s="267" t="n"/>
      <c r="F91" s="267" t="n"/>
    </row>
    <row r="92">
      <c r="A92" s="267" t="n"/>
      <c r="B92" s="267" t="n"/>
      <c r="C92" s="267" t="n"/>
      <c r="D92" s="267" t="n"/>
      <c r="E92" s="267" t="n"/>
      <c r="F92" s="267" t="n"/>
    </row>
    <row r="93">
      <c r="A93" s="267" t="n"/>
      <c r="B93" s="267" t="n"/>
      <c r="C93" s="267" t="n"/>
      <c r="D93" s="267" t="n"/>
      <c r="E93" s="267" t="n"/>
      <c r="F93" s="267" t="n"/>
    </row>
    <row r="94">
      <c r="A94" s="267" t="n"/>
      <c r="B94" s="267" t="n"/>
      <c r="C94" s="267" t="n"/>
      <c r="D94" s="267" t="n"/>
      <c r="E94" s="267" t="n"/>
      <c r="F94" s="267" t="n"/>
    </row>
    <row r="95">
      <c r="A95" s="267" t="n"/>
      <c r="B95" s="267" t="n"/>
      <c r="C95" s="267" t="n"/>
      <c r="D95" s="267" t="n"/>
      <c r="E95" s="267" t="n"/>
      <c r="F95" s="267" t="n"/>
    </row>
    <row r="96">
      <c r="A96" s="267" t="n"/>
      <c r="B96" s="267" t="n"/>
      <c r="C96" s="267" t="n"/>
      <c r="D96" s="267" t="n"/>
      <c r="E96" s="267" t="n"/>
      <c r="F96" s="267" t="n"/>
    </row>
    <row r="97">
      <c r="A97" s="267" t="n"/>
      <c r="B97" s="267" t="n"/>
      <c r="C97" s="267" t="n"/>
      <c r="D97" s="267" t="n"/>
      <c r="E97" s="267" t="n"/>
      <c r="F97" s="267" t="n"/>
    </row>
    <row r="98">
      <c r="A98" s="267" t="n"/>
      <c r="B98" s="267" t="n"/>
      <c r="C98" s="267" t="n"/>
      <c r="D98" s="267" t="n"/>
      <c r="E98" s="267" t="n"/>
      <c r="F98" s="267" t="n"/>
    </row>
    <row r="99">
      <c r="A99" s="267" t="n"/>
      <c r="B99" s="267" t="n"/>
      <c r="C99" s="267" t="n"/>
      <c r="D99" s="267" t="n"/>
      <c r="E99" s="267" t="n"/>
      <c r="F99" s="267" t="n"/>
    </row>
    <row r="100">
      <c r="A100" s="267" t="n"/>
      <c r="B100" s="267" t="n"/>
      <c r="C100" s="267" t="n"/>
      <c r="D100" s="267" t="n"/>
      <c r="E100" s="267" t="n"/>
      <c r="F100" s="267" t="n"/>
    </row>
    <row r="101">
      <c r="A101" s="267" t="n"/>
      <c r="B101" s="267" t="n"/>
      <c r="C101" s="267" t="n"/>
      <c r="D101" s="267" t="n"/>
      <c r="E101" s="267" t="n"/>
      <c r="F101" s="267" t="n"/>
    </row>
    <row r="102">
      <c r="A102" s="267" t="n"/>
      <c r="B102" s="267" t="n"/>
      <c r="C102" s="267" t="n"/>
      <c r="D102" s="267" t="n"/>
      <c r="E102" s="267" t="n"/>
      <c r="F102" s="267" t="n"/>
    </row>
  </sheetData>
  <autoFilter ref="$A$3:$F$102"/>
  <mergeCells count="1">
    <mergeCell ref="B1:F1"/>
  </mergeCells>
  <dataValidations count="2">
    <dataValidation sqref="C4" showDropDown="1" showInputMessage="0" showErrorMessage="0" allowBlank="1" type="list">
      <formula1>"Option 1,Option 2"</formula1>
    </dataValidation>
    <dataValidation sqref="A4:A102" showDropDown="0" showInputMessage="0" showErrorMessage="1" allowBlank="1" type="list">
      <formula1>SelecaoEntrevista</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FF4A86E8"/>
    <outlinePr summaryBelow="0" summaryRight="0"/>
    <pageSetUpPr/>
  </sheetPr>
  <dimension ref="A1:F34"/>
  <sheetViews>
    <sheetView showGridLines="0" workbookViewId="0">
      <pane ySplit="2" topLeftCell="A3" activePane="bottomLeft" state="frozen"/>
      <selection pane="bottomLeft" activeCell="B4" sqref="B4"/>
    </sheetView>
  </sheetViews>
  <sheetFormatPr baseColWidth="8" defaultColWidth="12.63" defaultRowHeight="15.75" customHeight="1"/>
  <cols>
    <col width="9.25" customWidth="1" style="384" min="1" max="1"/>
    <col width="7.13" customWidth="1" style="384" min="2" max="2"/>
    <col width="7.75" customWidth="1" style="384" min="3" max="3"/>
    <col width="53.38" customWidth="1" style="384" min="4" max="4"/>
    <col width="50.63" customWidth="1" style="384" min="5" max="5"/>
    <col width="4.88" customWidth="1" style="384" min="6" max="6"/>
  </cols>
  <sheetData>
    <row r="1">
      <c r="A1" s="78" t="inlineStr">
        <is>
          <t>CRONOGRAMA DE ATIVIDADES DA AVALIAÇÃO INICIAL</t>
        </is>
      </c>
      <c r="F1" s="268" t="n"/>
    </row>
    <row r="2" ht="8.25" customHeight="1" s="384">
      <c r="A2" s="268" t="n"/>
      <c r="B2" s="268" t="n"/>
      <c r="C2" s="109" t="n"/>
      <c r="D2" s="268" t="n"/>
      <c r="E2" s="268" t="n"/>
      <c r="F2" s="268" t="n"/>
    </row>
    <row r="3">
      <c r="A3" s="396">
        <f>PLANO!D12</f>
        <v/>
      </c>
      <c r="B3" s="390" t="n"/>
      <c r="C3" s="390" t="n"/>
      <c r="D3" s="390" t="n"/>
      <c r="E3" s="386" t="n"/>
      <c r="F3" s="268" t="n"/>
    </row>
    <row r="4">
      <c r="A4" s="79" t="inlineStr">
        <is>
          <t>Início</t>
        </is>
      </c>
      <c r="B4" s="79" t="inlineStr">
        <is>
          <t>Fim</t>
        </is>
      </c>
      <c r="C4" s="79" t="inlineStr">
        <is>
          <t>Duração</t>
        </is>
      </c>
      <c r="D4" s="79" t="inlineStr">
        <is>
          <t>Atividade</t>
        </is>
      </c>
      <c r="E4" s="79" t="inlineStr">
        <is>
          <t>Participantes</t>
        </is>
      </c>
      <c r="F4" s="268" t="n"/>
    </row>
    <row r="5">
      <c r="A5" s="122" t="n">
        <v>0.3541666666666667</v>
      </c>
      <c r="B5" s="123">
        <f>A5+C5</f>
        <v/>
      </c>
      <c r="C5" s="122" t="n">
        <v>0.01388888888888889</v>
      </c>
      <c r="D5" s="124" t="inlineStr">
        <is>
          <t>Reunião da equipe de avaliação com o patrocinador</t>
        </is>
      </c>
      <c r="E5" s="92" t="inlineStr">
        <is>
          <t>Patrocinador, coordenador e equipe de avaliação</t>
        </is>
      </c>
      <c r="F5" s="268" t="n"/>
    </row>
    <row r="6">
      <c r="A6" s="125">
        <f>B5</f>
        <v/>
      </c>
      <c r="B6" s="123">
        <f>A6+C6</f>
        <v/>
      </c>
      <c r="C6" s="122" t="n">
        <v>0.02083333333333333</v>
      </c>
      <c r="D6" s="124" t="inlineStr">
        <is>
          <t>Apresentação dos processos da organização à equipe de avaliação</t>
        </is>
      </c>
      <c r="E6" s="92" t="inlineStr">
        <is>
          <t>Equipe de Avaliação e participantes da avaliação inicial</t>
        </is>
      </c>
      <c r="F6" s="268" t="n"/>
    </row>
    <row r="7">
      <c r="A7" s="125">
        <f>B6</f>
        <v/>
      </c>
      <c r="B7" s="123">
        <f>A7+C7</f>
        <v/>
      </c>
      <c r="C7" s="122" t="n">
        <v>0.02083333333333333</v>
      </c>
      <c r="D7" s="124" t="inlineStr">
        <is>
          <t>Treinamento da equipe de avaliação</t>
        </is>
      </c>
      <c r="E7" s="92" t="inlineStr">
        <is>
          <t>Avaliador Líder e Membros da equipe de avaliação</t>
        </is>
      </c>
      <c r="F7" s="268" t="n"/>
    </row>
    <row r="8">
      <c r="A8" s="125">
        <f>B7</f>
        <v/>
      </c>
      <c r="B8" s="123">
        <f>A8+C8</f>
        <v/>
      </c>
      <c r="C8" s="122" t="n">
        <v>0.09027777777777778</v>
      </c>
      <c r="D8" s="124" t="inlineStr">
        <is>
          <t xml:space="preserve">Revisão das Planilhas e elaboração do Relatório de Ajustes </t>
        </is>
      </c>
      <c r="E8" s="92" t="inlineStr">
        <is>
          <t>Equipe de Avaliação e participantes da avaliação inicial</t>
        </is>
      </c>
      <c r="F8" s="268" t="n"/>
    </row>
    <row r="9">
      <c r="A9" s="125">
        <f>B8</f>
        <v/>
      </c>
      <c r="B9" s="123">
        <f>A9+C9</f>
        <v/>
      </c>
      <c r="C9" s="125" t="n">
        <v>0.0625</v>
      </c>
      <c r="D9" s="92" t="inlineStr">
        <is>
          <t>Almoço</t>
        </is>
      </c>
      <c r="E9" s="386" t="n"/>
      <c r="F9" s="268" t="n"/>
    </row>
    <row r="10">
      <c r="A10" s="125">
        <f>B9</f>
        <v/>
      </c>
      <c r="B10" s="123">
        <f>A10+C10</f>
        <v/>
      </c>
      <c r="C10" s="122" t="n">
        <v>0.1041666666666667</v>
      </c>
      <c r="D10" s="124" t="inlineStr">
        <is>
          <t xml:space="preserve">Revisão das Planilhas e elaboração do Relatório de Ajustes </t>
        </is>
      </c>
      <c r="E10" s="92" t="inlineStr">
        <is>
          <t>Equipe de Avaliação e participantes da avaliação inicial</t>
        </is>
      </c>
      <c r="F10" s="268" t="n"/>
    </row>
    <row r="11">
      <c r="A11" s="125">
        <f>B10</f>
        <v/>
      </c>
      <c r="B11" s="123">
        <f>A11+C11</f>
        <v/>
      </c>
      <c r="C11" s="125" t="n">
        <v>0.01041666666666667</v>
      </c>
      <c r="D11" s="92" t="inlineStr">
        <is>
          <t>Intervalo para café</t>
        </is>
      </c>
      <c r="E11" s="386" t="n"/>
      <c r="F11" s="268" t="n"/>
    </row>
    <row r="12">
      <c r="A12" s="125">
        <f>B11</f>
        <v/>
      </c>
      <c r="B12" s="123">
        <f>A12+C12</f>
        <v/>
      </c>
      <c r="C12" s="122" t="n">
        <v>0.07291666666666667</v>
      </c>
      <c r="D12" s="124" t="inlineStr">
        <is>
          <t xml:space="preserve">Revisão das Planilhas e elaboração do Relatório de Ajustes </t>
        </is>
      </c>
      <c r="E12" s="92" t="inlineStr">
        <is>
          <t>Equipe de Avaliação e participantes da avaliação inicial</t>
        </is>
      </c>
      <c r="F12" s="268" t="n"/>
    </row>
    <row r="13">
      <c r="A13" s="125">
        <f>B12</f>
        <v/>
      </c>
      <c r="B13" s="123">
        <f>A13+C13</f>
        <v/>
      </c>
      <c r="C13" s="92" t="n"/>
      <c r="D13" s="92" t="inlineStr">
        <is>
          <t>Encerramento das atividades do dia</t>
        </is>
      </c>
      <c r="E13" s="386" t="n"/>
      <c r="F13" s="268" t="n"/>
    </row>
    <row r="14">
      <c r="A14" s="120" t="n"/>
      <c r="B14" s="390" t="n"/>
      <c r="C14" s="390" t="n"/>
      <c r="D14" s="390" t="n"/>
      <c r="E14" s="386" t="n"/>
      <c r="F14" s="268" t="n"/>
    </row>
    <row r="15">
      <c r="A15" s="79" t="inlineStr">
        <is>
          <t>Início</t>
        </is>
      </c>
      <c r="B15" s="79" t="inlineStr">
        <is>
          <t>Fim</t>
        </is>
      </c>
      <c r="C15" s="79" t="inlineStr">
        <is>
          <t>Duração</t>
        </is>
      </c>
      <c r="D15" s="79" t="inlineStr">
        <is>
          <t>Atividade</t>
        </is>
      </c>
      <c r="E15" s="79" t="inlineStr">
        <is>
          <t>Participantes</t>
        </is>
      </c>
      <c r="F15" s="268" t="n"/>
    </row>
    <row r="16">
      <c r="A16" s="122" t="n">
        <v>0.3541666666666667</v>
      </c>
      <c r="B16" s="123">
        <f>A16+C16</f>
        <v/>
      </c>
      <c r="C16" s="122" t="n">
        <v>0.0625</v>
      </c>
      <c r="D16" s="124" t="inlineStr">
        <is>
          <t xml:space="preserve">Revisão das Planilhas e elaboração do Relatório de Ajustes </t>
        </is>
      </c>
      <c r="E16" s="92" t="inlineStr">
        <is>
          <t>Equipe de Avaliação e participantes da avaliação inicial</t>
        </is>
      </c>
      <c r="F16" s="268" t="n"/>
    </row>
    <row r="17">
      <c r="A17" s="125">
        <f>B16</f>
        <v/>
      </c>
      <c r="B17" s="123">
        <f>A17+C17</f>
        <v/>
      </c>
      <c r="C17" s="122" t="n">
        <v>0.01041666666666667</v>
      </c>
      <c r="D17" s="92" t="inlineStr">
        <is>
          <t>Intervalo para café</t>
        </is>
      </c>
      <c r="E17" s="386" t="n"/>
      <c r="F17" s="268" t="n"/>
    </row>
    <row r="18">
      <c r="A18" s="125">
        <f>B17</f>
        <v/>
      </c>
      <c r="B18" s="123">
        <f>A18+C18</f>
        <v/>
      </c>
      <c r="C18" s="122" t="n">
        <v>0.07291666666666667</v>
      </c>
      <c r="D18" s="124" t="inlineStr">
        <is>
          <t xml:space="preserve">Revisão das Planilhas e elaboração do Relatório de Ajustes </t>
        </is>
      </c>
      <c r="E18" s="92" t="inlineStr">
        <is>
          <t>Equipe de Avaliação e participantes da avaliação inicial</t>
        </is>
      </c>
      <c r="F18" s="268" t="n"/>
    </row>
    <row r="19">
      <c r="A19" s="125">
        <f>B18</f>
        <v/>
      </c>
      <c r="B19" s="123">
        <f>A19+C19</f>
        <v/>
      </c>
      <c r="C19" s="125" t="n">
        <v>0.0625</v>
      </c>
      <c r="D19" s="92" t="inlineStr">
        <is>
          <t>Almoço</t>
        </is>
      </c>
      <c r="E19" s="386" t="n"/>
      <c r="F19" s="268" t="n"/>
    </row>
    <row r="20">
      <c r="A20" s="125">
        <f>B19</f>
        <v/>
      </c>
      <c r="B20" s="123">
        <f>A20+C20</f>
        <v/>
      </c>
      <c r="C20" s="122" t="n">
        <v>0.1041666666666667</v>
      </c>
      <c r="D20" s="124" t="inlineStr">
        <is>
          <t xml:space="preserve">Revisão das Planilhas e elaboração do Relatório de Ajustes </t>
        </is>
      </c>
      <c r="E20" s="92" t="inlineStr">
        <is>
          <t>Equipe de Avaliação e participantes da avaliação inicial</t>
        </is>
      </c>
      <c r="F20" s="268" t="n"/>
    </row>
    <row r="21">
      <c r="A21" s="125">
        <f>B20</f>
        <v/>
      </c>
      <c r="B21" s="123">
        <f>A21+C21</f>
        <v/>
      </c>
      <c r="C21" s="125" t="n">
        <v>0.01041666666666667</v>
      </c>
      <c r="D21" s="92" t="inlineStr">
        <is>
          <t>Intervalo para café</t>
        </is>
      </c>
      <c r="E21" s="386" t="n"/>
      <c r="F21" s="268" t="n"/>
    </row>
    <row r="22">
      <c r="A22" s="125">
        <f>B21</f>
        <v/>
      </c>
      <c r="B22" s="123">
        <f>A22+C22</f>
        <v/>
      </c>
      <c r="C22" s="122" t="n">
        <v>0.07291666666666667</v>
      </c>
      <c r="D22" s="124" t="inlineStr">
        <is>
          <t xml:space="preserve">Revisão das Planilhas e elaboração do Relatório de Ajustes </t>
        </is>
      </c>
      <c r="E22" s="92" t="inlineStr">
        <is>
          <t>Equipe de Avaliação e participantes da avaliação inicial</t>
        </is>
      </c>
      <c r="F22" s="268" t="n"/>
    </row>
    <row r="23">
      <c r="A23" s="125">
        <f>B22</f>
        <v/>
      </c>
      <c r="B23" s="123">
        <f>A23+C23</f>
        <v/>
      </c>
      <c r="C23" s="92" t="n"/>
      <c r="D23" s="92" t="inlineStr">
        <is>
          <t>Encerramento das atividades do dia</t>
        </is>
      </c>
      <c r="E23" s="386" t="n"/>
      <c r="F23" s="268" t="n"/>
    </row>
    <row r="24">
      <c r="A24" s="396">
        <f>PLANO!E12</f>
        <v/>
      </c>
      <c r="B24" s="390" t="n"/>
      <c r="C24" s="390" t="n"/>
      <c r="D24" s="390" t="n"/>
      <c r="E24" s="386" t="n"/>
      <c r="F24" s="268" t="n"/>
    </row>
    <row r="25">
      <c r="A25" s="79" t="inlineStr">
        <is>
          <t>Início</t>
        </is>
      </c>
      <c r="B25" s="79" t="inlineStr">
        <is>
          <t>Fim</t>
        </is>
      </c>
      <c r="C25" s="79" t="inlineStr">
        <is>
          <t>Duração</t>
        </is>
      </c>
      <c r="D25" s="79" t="inlineStr">
        <is>
          <t>Atividade</t>
        </is>
      </c>
      <c r="E25" s="79" t="inlineStr">
        <is>
          <t>Participantes</t>
        </is>
      </c>
      <c r="F25" s="268" t="n"/>
    </row>
    <row r="26">
      <c r="A26" s="122" t="n">
        <v>0.3541666666666667</v>
      </c>
      <c r="B26" s="123">
        <f>A26+C26</f>
        <v/>
      </c>
      <c r="C26" s="126" t="n">
        <v>0.0625</v>
      </c>
      <c r="D26" s="124" t="inlineStr">
        <is>
          <t xml:space="preserve">Revisão das Planilhas e elaboração do Relatório de Ajustes </t>
        </is>
      </c>
      <c r="E26" s="92" t="inlineStr">
        <is>
          <t>Equipe de Avaliação e participantes da avaliação inicial</t>
        </is>
      </c>
      <c r="F26" s="268" t="n"/>
    </row>
    <row r="27">
      <c r="A27" s="122">
        <f>B26</f>
        <v/>
      </c>
      <c r="B27" s="123">
        <f>A27+C27</f>
        <v/>
      </c>
      <c r="C27" s="126" t="n">
        <v>0.01041666666666667</v>
      </c>
      <c r="D27" s="85" t="inlineStr">
        <is>
          <t>Intervalo para café</t>
        </is>
      </c>
      <c r="E27" s="386" t="n"/>
      <c r="F27" s="268" t="n"/>
    </row>
    <row r="28">
      <c r="A28" s="122">
        <f>B27</f>
        <v/>
      </c>
      <c r="B28" s="123">
        <f>A28+C28</f>
        <v/>
      </c>
      <c r="C28" s="126" t="n">
        <v>0.07291666666666667</v>
      </c>
      <c r="D28" s="124" t="inlineStr">
        <is>
          <t xml:space="preserve">Revisão das Planilhas e elaboração do Relatório de Ajustes </t>
        </is>
      </c>
      <c r="E28" s="92" t="inlineStr">
        <is>
          <t>Equipe de Avaliação e participantes da avaliação inicial</t>
        </is>
      </c>
      <c r="F28" s="268" t="n"/>
    </row>
    <row r="29">
      <c r="A29" s="122">
        <f>B28</f>
        <v/>
      </c>
      <c r="B29" s="123">
        <f>A29+C29</f>
        <v/>
      </c>
      <c r="C29" s="127" t="n">
        <v>0.0625</v>
      </c>
      <c r="D29" s="85" t="inlineStr">
        <is>
          <t>Almoço</t>
        </is>
      </c>
      <c r="E29" s="386" t="n"/>
      <c r="F29" s="268" t="n"/>
    </row>
    <row r="30">
      <c r="A30" s="122">
        <f>B29</f>
        <v/>
      </c>
      <c r="B30" s="123">
        <f>A30+C30</f>
        <v/>
      </c>
      <c r="C30" s="126" t="n">
        <v>0.08333333333333333</v>
      </c>
      <c r="D30" s="124" t="inlineStr">
        <is>
          <t xml:space="preserve">Revisão das Planilhas e elaboração do Relatório de Ajustes </t>
        </is>
      </c>
      <c r="E30" s="92" t="inlineStr">
        <is>
          <t>Equipe de Avaliação e participantes da avaliação inicial</t>
        </is>
      </c>
      <c r="F30" s="268" t="n"/>
    </row>
    <row r="31">
      <c r="A31" s="122">
        <f>B30</f>
        <v/>
      </c>
      <c r="B31" s="123">
        <f>A31+C31</f>
        <v/>
      </c>
      <c r="C31" s="126" t="n">
        <v>0.01041666666666667</v>
      </c>
      <c r="D31" s="85" t="inlineStr">
        <is>
          <t>Intervalo para café</t>
        </is>
      </c>
      <c r="E31" s="386" t="n"/>
      <c r="F31" s="268" t="n"/>
    </row>
    <row r="32">
      <c r="A32" s="122">
        <f>B31</f>
        <v/>
      </c>
      <c r="B32" s="123">
        <f>A32+C32</f>
        <v/>
      </c>
      <c r="C32" s="126" t="n">
        <v>0.05208333333333334</v>
      </c>
      <c r="D32" s="128" t="inlineStr">
        <is>
          <t>Reunião com o patrocinador para presentação do Relatório de Ajustes e Relatório Inicial</t>
        </is>
      </c>
      <c r="E32" s="85" t="inlineStr">
        <is>
          <t>Patrocinador, coordenador, equipe de avaliação, representante da II e demais participantes da empresa da avaliação inicial.</t>
        </is>
      </c>
      <c r="F32" s="268" t="n"/>
    </row>
    <row r="33">
      <c r="A33" s="122">
        <f>B32</f>
        <v/>
      </c>
      <c r="B33" s="123">
        <f>A33+C33</f>
        <v/>
      </c>
      <c r="C33" s="85" t="n"/>
      <c r="D33" s="85" t="inlineStr">
        <is>
          <t>Encerramento da avaliação inicial</t>
        </is>
      </c>
      <c r="E33" s="386" t="n"/>
      <c r="F33" s="268" t="n"/>
    </row>
    <row r="34">
      <c r="A34" s="268" t="n"/>
      <c r="B34" s="268" t="n"/>
      <c r="C34" s="109" t="n"/>
      <c r="D34" s="268" t="n"/>
      <c r="E34" s="268" t="n"/>
      <c r="F34" s="268" t="n"/>
    </row>
  </sheetData>
  <mergeCells count="15">
    <mergeCell ref="A24:E24"/>
    <mergeCell ref="D21:E21"/>
    <mergeCell ref="D19:E19"/>
    <mergeCell ref="D33:E33"/>
    <mergeCell ref="D29:E29"/>
    <mergeCell ref="D27:E27"/>
    <mergeCell ref="D11:E11"/>
    <mergeCell ref="D23:E23"/>
    <mergeCell ref="D13:E13"/>
    <mergeCell ref="A1:E1"/>
    <mergeCell ref="D9:E9"/>
    <mergeCell ref="A14:E14"/>
    <mergeCell ref="D31:E31"/>
    <mergeCell ref="D17:E17"/>
    <mergeCell ref="A3:E3"/>
  </mergeCells>
  <pageMargins left="0.75" right="0.75" top="1" bottom="1" header="0.5" footer="0.5"/>
</worksheet>
</file>

<file path=xl/worksheets/sheet11.xml><?xml version="1.0" encoding="utf-8"?>
<worksheet xmlns="http://schemas.openxmlformats.org/spreadsheetml/2006/main">
  <sheetPr>
    <tabColor rgb="FF0000FF"/>
    <outlinePr summaryBelow="0" summaryRight="0"/>
    <pageSetUpPr/>
  </sheetPr>
  <dimension ref="A1:F48"/>
  <sheetViews>
    <sheetView showGridLines="0" workbookViewId="0">
      <pane ySplit="2" topLeftCell="A3" activePane="bottomLeft" state="frozen"/>
      <selection pane="bottomLeft" activeCell="B4" sqref="B4"/>
    </sheetView>
  </sheetViews>
  <sheetFormatPr baseColWidth="8" defaultColWidth="12.63" defaultRowHeight="15.75" customHeight="1"/>
  <cols>
    <col width="9.25" customWidth="1" style="384" min="1" max="1"/>
    <col width="7.13" customWidth="1" style="384" min="2" max="2"/>
    <col width="7.75" customWidth="1" style="384" min="3" max="3"/>
    <col width="53.38" customWidth="1" style="384" min="4" max="4"/>
    <col width="50.63" customWidth="1" style="384" min="5" max="5"/>
    <col width="3.38" customWidth="1" style="384" min="6" max="6"/>
  </cols>
  <sheetData>
    <row r="1">
      <c r="A1" s="78" t="inlineStr">
        <is>
          <t>CRONOGRAMA DE ATIVIDADES DA AVALIAÇÃO FINAL</t>
        </is>
      </c>
      <c r="F1" s="101" t="n"/>
    </row>
    <row r="2" ht="8.25" customHeight="1" s="384">
      <c r="A2" s="101" t="n"/>
      <c r="B2" s="101" t="n"/>
      <c r="C2" s="129" t="n"/>
      <c r="D2" s="101" t="n"/>
      <c r="E2" s="101" t="n"/>
      <c r="F2" s="101" t="n"/>
    </row>
    <row r="3">
      <c r="A3" s="397">
        <f>PLANO!D13</f>
        <v/>
      </c>
      <c r="B3" s="390" t="n"/>
      <c r="C3" s="390" t="n"/>
      <c r="D3" s="390" t="n"/>
      <c r="E3" s="386" t="n"/>
      <c r="F3" s="101" t="n"/>
    </row>
    <row r="4">
      <c r="A4" s="79" t="inlineStr">
        <is>
          <t>Início</t>
        </is>
      </c>
      <c r="B4" s="79" t="inlineStr">
        <is>
          <t>Fim</t>
        </is>
      </c>
      <c r="C4" s="79" t="inlineStr">
        <is>
          <t>Duração</t>
        </is>
      </c>
      <c r="D4" s="79" t="inlineStr">
        <is>
          <t>Atividade</t>
        </is>
      </c>
      <c r="E4" s="79" t="inlineStr">
        <is>
          <t>Participantes</t>
        </is>
      </c>
      <c r="F4" s="101" t="n"/>
    </row>
    <row r="5">
      <c r="A5" s="122" t="n">
        <v>0.3541666666666667</v>
      </c>
      <c r="B5" s="123">
        <f>A5+C5</f>
        <v/>
      </c>
      <c r="C5" s="122" t="n">
        <v>0.01041666666666667</v>
      </c>
      <c r="D5" s="131" t="inlineStr">
        <is>
          <t>Reunião da equipe de avaliação com o patrocinador</t>
        </is>
      </c>
      <c r="E5" s="90" t="inlineStr">
        <is>
          <t>Patrocinador, coordenador e equipe de Avaliação</t>
        </is>
      </c>
      <c r="F5" s="101" t="n"/>
    </row>
    <row r="6">
      <c r="A6" s="125">
        <f>B5</f>
        <v/>
      </c>
      <c r="B6" s="123">
        <f>A6+C6</f>
        <v/>
      </c>
      <c r="C6" s="122" t="n">
        <v>0.02083333333333333</v>
      </c>
      <c r="D6" s="131" t="inlineStr">
        <is>
          <t>Reunião de abertura</t>
        </is>
      </c>
      <c r="E6" s="132" t="inlineStr">
        <is>
          <t>Equipe de avaliação, patrocinador e todos os entrevistados</t>
        </is>
      </c>
      <c r="F6" s="101" t="n"/>
    </row>
    <row r="7">
      <c r="A7" s="125">
        <f>B6</f>
        <v/>
      </c>
      <c r="B7" s="123">
        <f>A7+C7</f>
        <v/>
      </c>
      <c r="C7" s="122" t="n">
        <v>0.02083333333333333</v>
      </c>
      <c r="D7" s="131" t="inlineStr">
        <is>
          <t>Treinamento da equipe de avaliação</t>
        </is>
      </c>
      <c r="E7" s="90" t="inlineStr">
        <is>
          <t>Avaliador líder e membros da equipe de avaliação</t>
        </is>
      </c>
      <c r="F7" s="101" t="n"/>
    </row>
    <row r="8">
      <c r="A8" s="125">
        <f>B7</f>
        <v/>
      </c>
      <c r="B8" s="123">
        <f>A8+C8</f>
        <v/>
      </c>
      <c r="C8" s="122" t="n">
        <v>0.04166666666666666</v>
      </c>
      <c r="D8" s="131" t="inlineStr">
        <is>
          <t>Revisão das Planilhas e do Relatório de Ajustes</t>
        </is>
      </c>
      <c r="E8" s="90" t="inlineStr">
        <is>
          <t>Avaliador líder e membros da equipe de avaliação</t>
        </is>
      </c>
      <c r="F8" s="101" t="n"/>
    </row>
    <row r="9">
      <c r="A9" s="125">
        <f>B8</f>
        <v/>
      </c>
      <c r="B9" s="123">
        <f>A9+C9</f>
        <v/>
      </c>
      <c r="C9" s="122" t="n">
        <v>0.01041666666666667</v>
      </c>
      <c r="D9" s="85" t="inlineStr">
        <is>
          <t>Intervalo para café</t>
        </is>
      </c>
      <c r="E9" s="386" t="n"/>
      <c r="F9" s="101" t="n"/>
    </row>
    <row r="10">
      <c r="A10" s="125">
        <f>B9</f>
        <v/>
      </c>
      <c r="B10" s="123">
        <f>A10+C10</f>
        <v/>
      </c>
      <c r="C10" s="125" t="n">
        <v>0.04166666666666666</v>
      </c>
      <c r="D10" s="131" t="inlineStr">
        <is>
          <t>Entrevista com {nome do papel da UO} (processos do MPS que serão tratados)</t>
        </is>
      </c>
      <c r="E10" s="132" t="inlineStr">
        <is>
          <t xml:space="preserve">Equipe de avaliação e </t>
        </is>
      </c>
      <c r="F10" s="101" t="n"/>
    </row>
    <row r="11">
      <c r="A11" s="125">
        <f>B10</f>
        <v/>
      </c>
      <c r="B11" s="123">
        <f>A11+C11</f>
        <v/>
      </c>
      <c r="C11" s="125" t="n">
        <v>0.0625</v>
      </c>
      <c r="D11" s="92" t="inlineStr">
        <is>
          <t>Almoço</t>
        </is>
      </c>
      <c r="E11" s="386" t="n"/>
      <c r="F11" s="101" t="n"/>
    </row>
    <row r="12">
      <c r="A12" s="125">
        <f>B11</f>
        <v/>
      </c>
      <c r="B12" s="123">
        <f>A12+C12</f>
        <v/>
      </c>
      <c r="C12" s="122" t="n">
        <v>0.03125</v>
      </c>
      <c r="D12" s="133" t="inlineStr">
        <is>
          <t xml:space="preserve">Entrevista com </t>
        </is>
      </c>
      <c r="E12" s="132" t="inlineStr">
        <is>
          <t xml:space="preserve">Equipe de avaliação e </t>
        </is>
      </c>
      <c r="F12" s="101" t="n"/>
    </row>
    <row r="13">
      <c r="A13" s="125">
        <f>B12</f>
        <v/>
      </c>
      <c r="B13" s="123">
        <f>A13+C13</f>
        <v/>
      </c>
      <c r="C13" s="122" t="n">
        <v>0.03125</v>
      </c>
      <c r="D13" s="133" t="inlineStr">
        <is>
          <t xml:space="preserve">Entrevista com </t>
        </is>
      </c>
      <c r="E13" s="132" t="inlineStr">
        <is>
          <t xml:space="preserve">Equipe de avaliação e </t>
        </is>
      </c>
      <c r="F13" s="101" t="n"/>
    </row>
    <row r="14">
      <c r="A14" s="125">
        <f>B13</f>
        <v/>
      </c>
      <c r="B14" s="123">
        <f>A14+C14</f>
        <v/>
      </c>
      <c r="C14" s="122" t="n">
        <v>0.03125</v>
      </c>
      <c r="D14" s="133" t="inlineStr">
        <is>
          <t xml:space="preserve">Entrevista com </t>
        </is>
      </c>
      <c r="E14" s="132" t="inlineStr">
        <is>
          <t xml:space="preserve">Equipe de avaliação e </t>
        </is>
      </c>
      <c r="F14" s="101" t="n"/>
    </row>
    <row r="15">
      <c r="A15" s="125">
        <f>B14</f>
        <v/>
      </c>
      <c r="B15" s="123">
        <f>A15+C15</f>
        <v/>
      </c>
      <c r="C15" s="125" t="n">
        <v>0.01041666666666667</v>
      </c>
      <c r="D15" s="92" t="inlineStr">
        <is>
          <t>Intervalo para café</t>
        </is>
      </c>
      <c r="E15" s="386" t="n"/>
      <c r="F15" s="101" t="n"/>
    </row>
    <row r="16">
      <c r="A16" s="125">
        <f>B15</f>
        <v/>
      </c>
      <c r="B16" s="123">
        <f>A16+C16</f>
        <v/>
      </c>
      <c r="C16" s="122" t="n">
        <v>0.03125</v>
      </c>
      <c r="D16" s="133" t="inlineStr">
        <is>
          <t xml:space="preserve">Entrevista com </t>
        </is>
      </c>
      <c r="E16" s="132" t="inlineStr">
        <is>
          <t xml:space="preserve">Equipe de avaliação e </t>
        </is>
      </c>
      <c r="F16" s="101" t="n"/>
    </row>
    <row r="17">
      <c r="A17" s="125">
        <f>B16</f>
        <v/>
      </c>
      <c r="B17" s="123">
        <f>A17+C17</f>
        <v/>
      </c>
      <c r="C17" s="122" t="n">
        <v>0.03125</v>
      </c>
      <c r="D17" s="133" t="inlineStr">
        <is>
          <t xml:space="preserve">Entrevista com </t>
        </is>
      </c>
      <c r="E17" s="132" t="inlineStr">
        <is>
          <t xml:space="preserve">Equipe de avaliação e </t>
        </is>
      </c>
      <c r="F17" s="101" t="n"/>
    </row>
    <row r="18">
      <c r="A18" s="125">
        <f>B17</f>
        <v/>
      </c>
      <c r="B18" s="123">
        <f>A18+C18</f>
        <v/>
      </c>
      <c r="C18" s="122" t="n">
        <v>0.02083333333333333</v>
      </c>
      <c r="D18" s="318" t="inlineStr">
        <is>
          <t>Revisão da documentação</t>
        </is>
      </c>
      <c r="E18" s="132" t="inlineStr">
        <is>
          <t>Equipe de avaliação</t>
        </is>
      </c>
      <c r="F18" s="101" t="n"/>
    </row>
    <row r="19">
      <c r="A19" s="125">
        <f>B18</f>
        <v/>
      </c>
      <c r="B19" s="123">
        <f>A19+C19</f>
        <v/>
      </c>
      <c r="C19" s="92" t="n"/>
      <c r="D19" s="92" t="inlineStr">
        <is>
          <t>Encerramento das atividades do dia</t>
        </is>
      </c>
      <c r="E19" s="386" t="n"/>
      <c r="F19" s="101" t="n"/>
    </row>
    <row r="20">
      <c r="A20" s="398" t="n"/>
      <c r="B20" s="390" t="n"/>
      <c r="C20" s="390" t="n"/>
      <c r="D20" s="390" t="n"/>
      <c r="E20" s="386" t="n"/>
      <c r="F20" s="101" t="n"/>
    </row>
    <row r="21">
      <c r="A21" s="79" t="inlineStr">
        <is>
          <t>Início</t>
        </is>
      </c>
      <c r="B21" s="79" t="inlineStr">
        <is>
          <t>Fim</t>
        </is>
      </c>
      <c r="C21" s="79" t="inlineStr">
        <is>
          <t>Duração</t>
        </is>
      </c>
      <c r="D21" s="79" t="inlineStr">
        <is>
          <t>Atividade</t>
        </is>
      </c>
      <c r="E21" s="79" t="inlineStr">
        <is>
          <t>Participantes</t>
        </is>
      </c>
      <c r="F21" s="101" t="n"/>
    </row>
    <row r="22">
      <c r="A22" s="122" t="n">
        <v>0.3541666666666667</v>
      </c>
      <c r="B22" s="123">
        <f>A22+C22</f>
        <v/>
      </c>
      <c r="C22" s="126" t="n">
        <v>0.01041666666666667</v>
      </c>
      <c r="D22" s="133" t="inlineStr">
        <is>
          <t>Reunião da equipe de avaliação</t>
        </is>
      </c>
      <c r="E22" s="136" t="inlineStr">
        <is>
          <t xml:space="preserve">Equipe de avaliação </t>
        </is>
      </c>
      <c r="F22" s="101" t="n"/>
    </row>
    <row r="23">
      <c r="A23" s="122" t="n">
        <v>0.3958333333333333</v>
      </c>
      <c r="B23" s="123">
        <f>A23+C23</f>
        <v/>
      </c>
      <c r="C23" s="122" t="n">
        <v>0.03125</v>
      </c>
      <c r="D23" s="133" t="inlineStr">
        <is>
          <t xml:space="preserve">Entrevista com </t>
        </is>
      </c>
      <c r="E23" s="132" t="inlineStr">
        <is>
          <t xml:space="preserve">Equipe de avaliação e </t>
        </is>
      </c>
      <c r="F23" s="101" t="n"/>
    </row>
    <row r="24">
      <c r="A24" s="122" t="n">
        <v>0.4375</v>
      </c>
      <c r="B24" s="123">
        <f>A24+C24</f>
        <v/>
      </c>
      <c r="C24" s="122" t="n">
        <v>0.03125</v>
      </c>
      <c r="D24" s="133" t="inlineStr">
        <is>
          <t xml:space="preserve">Entrevista com </t>
        </is>
      </c>
      <c r="E24" s="132" t="inlineStr">
        <is>
          <t xml:space="preserve">Equipe de avaliação e </t>
        </is>
      </c>
      <c r="F24" s="101" t="n"/>
    </row>
    <row r="25">
      <c r="A25" s="122" t="n">
        <v>0.4791666666666667</v>
      </c>
      <c r="B25" s="123">
        <f>A25+C25</f>
        <v/>
      </c>
      <c r="C25" s="122" t="n">
        <v>0.03125</v>
      </c>
      <c r="D25" s="133" t="inlineStr">
        <is>
          <t xml:space="preserve">Entrevista com </t>
        </is>
      </c>
      <c r="E25" s="132" t="inlineStr">
        <is>
          <t xml:space="preserve">Equipe de avaliação e </t>
        </is>
      </c>
      <c r="F25" s="101" t="n"/>
    </row>
    <row r="26">
      <c r="A26" s="122" t="n">
        <v>0.5208333333333334</v>
      </c>
      <c r="B26" s="123">
        <f>A26+C26</f>
        <v/>
      </c>
      <c r="C26" s="127" t="n">
        <v>0.0625</v>
      </c>
      <c r="D26" s="85" t="inlineStr">
        <is>
          <t>Almoço</t>
        </is>
      </c>
      <c r="E26" s="386" t="n"/>
      <c r="F26" s="101" t="n"/>
    </row>
    <row r="27">
      <c r="A27" s="122" t="n">
        <v>0.5208333333333334</v>
      </c>
      <c r="B27" s="123">
        <f>A27+C27</f>
        <v/>
      </c>
      <c r="C27" s="126" t="n">
        <v>0.04166666666666666</v>
      </c>
      <c r="D27" s="318" t="inlineStr">
        <is>
          <t>Revisão da documentação</t>
        </is>
      </c>
      <c r="E27" s="132" t="inlineStr">
        <is>
          <t xml:space="preserve">Equipe de avaliação e </t>
        </is>
      </c>
      <c r="F27" s="101" t="n"/>
    </row>
    <row r="28">
      <c r="A28" s="122" t="n">
        <v>0.5625</v>
      </c>
      <c r="B28" s="123">
        <f>A28+C28</f>
        <v/>
      </c>
      <c r="C28" s="126" t="n">
        <v>0.01041666666666667</v>
      </c>
      <c r="D28" s="133" t="inlineStr">
        <is>
          <t xml:space="preserve">Entrevista com </t>
        </is>
      </c>
      <c r="E28" s="132" t="inlineStr">
        <is>
          <t xml:space="preserve">Equipe de avaliação e </t>
        </is>
      </c>
      <c r="F28" s="101" t="n"/>
    </row>
    <row r="29">
      <c r="A29" s="122" t="n">
        <v>0.6041666666666666</v>
      </c>
      <c r="B29" s="123">
        <f>A29+C29</f>
        <v/>
      </c>
      <c r="C29" s="126" t="n">
        <v>0.01041666666666667</v>
      </c>
      <c r="D29" s="133" t="inlineStr">
        <is>
          <t xml:space="preserve">Entrevista com </t>
        </is>
      </c>
      <c r="E29" s="132" t="inlineStr">
        <is>
          <t xml:space="preserve">Equipe de avaliação e </t>
        </is>
      </c>
      <c r="F29" s="101" t="n"/>
    </row>
    <row r="30">
      <c r="A30" s="122">
        <f>B29</f>
        <v/>
      </c>
      <c r="B30" s="123">
        <f>A30+C30</f>
        <v/>
      </c>
      <c r="C30" s="126" t="n">
        <v>0.01041666666666667</v>
      </c>
      <c r="D30" s="85" t="inlineStr">
        <is>
          <t>Intervalo para café</t>
        </is>
      </c>
      <c r="E30" s="386" t="n"/>
      <c r="F30" s="101" t="n"/>
    </row>
    <row r="31">
      <c r="A31" s="122">
        <f>B30</f>
        <v/>
      </c>
      <c r="B31" s="123">
        <f>A31+C31</f>
        <v/>
      </c>
      <c r="C31" s="126" t="n">
        <v>0.05208333333333334</v>
      </c>
      <c r="D31" s="133" t="inlineStr">
        <is>
          <t xml:space="preserve">Entrevista com </t>
        </is>
      </c>
      <c r="E31" s="132" t="inlineStr">
        <is>
          <t xml:space="preserve">Equipe de avaliação e </t>
        </is>
      </c>
      <c r="F31" s="101" t="n"/>
    </row>
    <row r="32">
      <c r="A32" s="122">
        <f>B31</f>
        <v/>
      </c>
      <c r="B32" s="123">
        <f>A32+C32</f>
        <v/>
      </c>
      <c r="C32" s="126" t="n">
        <v>0.05208333333333334</v>
      </c>
      <c r="D32" s="133" t="inlineStr">
        <is>
          <t xml:space="preserve">Entrevista com </t>
        </is>
      </c>
      <c r="E32" s="132" t="inlineStr">
        <is>
          <t xml:space="preserve">Equipe de avaliação e </t>
        </is>
      </c>
      <c r="F32" s="101" t="n"/>
    </row>
    <row r="33">
      <c r="A33" s="122">
        <f>B32</f>
        <v/>
      </c>
      <c r="B33" s="123">
        <f>A33+C33</f>
        <v/>
      </c>
      <c r="C33" s="85" t="n"/>
      <c r="D33" s="85" t="inlineStr">
        <is>
          <t>Encerramento das atividades do dia</t>
        </is>
      </c>
      <c r="E33" s="386" t="n"/>
      <c r="F33" s="101" t="n"/>
    </row>
    <row r="34">
      <c r="A34" s="397">
        <f>PLANO!E13</f>
        <v/>
      </c>
      <c r="B34" s="390" t="n"/>
      <c r="C34" s="390" t="n"/>
      <c r="D34" s="390" t="n"/>
      <c r="E34" s="386" t="n"/>
      <c r="F34" s="101" t="n"/>
    </row>
    <row r="35">
      <c r="A35" s="79" t="inlineStr">
        <is>
          <t>Início</t>
        </is>
      </c>
      <c r="B35" s="79" t="inlineStr">
        <is>
          <t>Fim</t>
        </is>
      </c>
      <c r="C35" s="79" t="inlineStr">
        <is>
          <t>Duração</t>
        </is>
      </c>
      <c r="D35" s="79" t="inlineStr">
        <is>
          <t>Atividade</t>
        </is>
      </c>
      <c r="E35" s="79" t="inlineStr">
        <is>
          <t>Participantes</t>
        </is>
      </c>
      <c r="F35" s="101" t="n"/>
    </row>
    <row r="36">
      <c r="A36" s="122" t="n">
        <v>0.3541666666666667</v>
      </c>
      <c r="B36" s="123">
        <f>A36+C36</f>
        <v/>
      </c>
      <c r="C36" s="126" t="n">
        <v>0.01041666666666667</v>
      </c>
      <c r="D36" s="101" t="inlineStr">
        <is>
          <t>Reunião da equipe</t>
        </is>
      </c>
      <c r="E36" s="132" t="inlineStr">
        <is>
          <t xml:space="preserve">Equipe de avaliação e </t>
        </is>
      </c>
      <c r="F36" s="101" t="n"/>
    </row>
    <row r="37">
      <c r="A37" s="122" t="n">
        <v>0.3958333333333333</v>
      </c>
      <c r="B37" s="123">
        <f>A37+C37</f>
        <v/>
      </c>
      <c r="C37" s="122" t="n">
        <v>0.03125</v>
      </c>
      <c r="D37" s="133" t="inlineStr">
        <is>
          <t xml:space="preserve">Entrevista com </t>
        </is>
      </c>
      <c r="E37" s="132" t="inlineStr">
        <is>
          <t xml:space="preserve">Equipe de avaliação e </t>
        </is>
      </c>
      <c r="F37" s="101" t="n"/>
    </row>
    <row r="38">
      <c r="A38" s="122" t="n">
        <v>0.4375</v>
      </c>
      <c r="B38" s="123">
        <f>A38+C38</f>
        <v/>
      </c>
      <c r="C38" s="122" t="n">
        <v>0.03125</v>
      </c>
      <c r="D38" s="133" t="inlineStr">
        <is>
          <t xml:space="preserve">Entrevista com </t>
        </is>
      </c>
      <c r="E38" s="132" t="inlineStr">
        <is>
          <t xml:space="preserve">Equipe de avaliação e </t>
        </is>
      </c>
      <c r="F38" s="101" t="n"/>
    </row>
    <row r="39">
      <c r="A39" s="122" t="n">
        <v>0.4791666666666667</v>
      </c>
      <c r="B39" s="123">
        <f>A39+C39</f>
        <v/>
      </c>
      <c r="C39" s="122" t="n">
        <v>0.03125</v>
      </c>
      <c r="D39" s="133" t="inlineStr">
        <is>
          <t xml:space="preserve">Entrevista com </t>
        </is>
      </c>
      <c r="E39" s="132" t="inlineStr">
        <is>
          <t xml:space="preserve">Equipe de avaliação e </t>
        </is>
      </c>
      <c r="F39" s="101" t="n"/>
    </row>
    <row r="40">
      <c r="A40" s="122" t="n">
        <v>0.5208333333333334</v>
      </c>
      <c r="B40" s="123">
        <f>A40+C40</f>
        <v/>
      </c>
      <c r="C40" s="127" t="n">
        <v>0.0625</v>
      </c>
      <c r="D40" s="85" t="inlineStr">
        <is>
          <t>Almoço</t>
        </is>
      </c>
      <c r="E40" s="386" t="n"/>
      <c r="F40" s="101" t="n"/>
    </row>
    <row r="41">
      <c r="A41" s="122" t="n">
        <v>0.5208333333333334</v>
      </c>
      <c r="B41" s="123">
        <f>A41+C41</f>
        <v/>
      </c>
      <c r="C41" s="126" t="n">
        <v>0.04166666666666666</v>
      </c>
      <c r="D41" s="318" t="inlineStr">
        <is>
          <t>Revisão da documentação</t>
        </is>
      </c>
      <c r="E41" s="132" t="inlineStr">
        <is>
          <t xml:space="preserve">Equipe de avaliação e </t>
        </is>
      </c>
      <c r="F41" s="101" t="n"/>
    </row>
    <row r="42">
      <c r="A42" s="122" t="n">
        <v>0.5625</v>
      </c>
      <c r="B42" s="123">
        <f>A42+C42</f>
        <v/>
      </c>
      <c r="C42" s="126" t="n">
        <v>0.01041666666666667</v>
      </c>
      <c r="D42" s="319" t="inlineStr">
        <is>
          <t>Apresentação dos Resultados Preliminares I</t>
        </is>
      </c>
      <c r="E42" s="132" t="inlineStr">
        <is>
          <t xml:space="preserve">Equipe de avaliação e </t>
        </is>
      </c>
      <c r="F42" s="101" t="n"/>
    </row>
    <row r="43">
      <c r="A43" s="122" t="n">
        <v>0.6041666666666666</v>
      </c>
      <c r="B43" s="123">
        <f>A43+C43</f>
        <v/>
      </c>
      <c r="C43" s="126" t="n">
        <v>0.01041666666666667</v>
      </c>
      <c r="D43" s="319" t="inlineStr">
        <is>
          <t>Apresentação dos Resultados Preliminares II</t>
        </is>
      </c>
      <c r="E43" s="132" t="inlineStr">
        <is>
          <t xml:space="preserve">Equipe de avaliação e </t>
        </is>
      </c>
      <c r="F43" s="101" t="n"/>
    </row>
    <row r="44">
      <c r="A44" s="122">
        <f>B43</f>
        <v/>
      </c>
      <c r="B44" s="123">
        <f>A44+C44</f>
        <v/>
      </c>
      <c r="C44" s="126" t="n">
        <v>0.01041666666666667</v>
      </c>
      <c r="D44" s="85" t="inlineStr">
        <is>
          <t>Intervalo para café</t>
        </is>
      </c>
      <c r="E44" s="386" t="n"/>
      <c r="F44" s="101" t="n"/>
    </row>
    <row r="45">
      <c r="A45" s="122">
        <f>B44</f>
        <v/>
      </c>
      <c r="B45" s="123">
        <f>A45+C45</f>
        <v/>
      </c>
      <c r="C45" s="126" t="n">
        <v>0.05208333333333334</v>
      </c>
      <c r="D45" s="383" t="inlineStr">
        <is>
          <t>Reunião com patrocinador</t>
        </is>
      </c>
      <c r="E45" s="380" t="inlineStr">
        <is>
          <t>Equipe de avaliação e patrocinador</t>
        </is>
      </c>
      <c r="F45" s="101" t="n"/>
    </row>
    <row r="46">
      <c r="A46" s="122">
        <f>B45</f>
        <v/>
      </c>
      <c r="B46" s="123">
        <f>A46+C46</f>
        <v/>
      </c>
      <c r="C46" s="126" t="n">
        <v>0.05208333333333334</v>
      </c>
      <c r="D46" s="140" t="inlineStr">
        <is>
          <t>Reunião com empresa para apresentação do resultado da avaliação final</t>
        </is>
      </c>
      <c r="E46" s="380" t="inlineStr">
        <is>
          <t>Equipe de avaliação, patrocinador, entrevistados e outros participantes da organização</t>
        </is>
      </c>
      <c r="F46" s="101" t="n"/>
    </row>
    <row r="47">
      <c r="A47" s="122">
        <f>B46</f>
        <v/>
      </c>
      <c r="B47" s="123">
        <f>A47+C47</f>
        <v/>
      </c>
      <c r="C47" s="85" t="n"/>
      <c r="D47" s="85" t="inlineStr">
        <is>
          <t>Encerramento da avaliação final</t>
        </is>
      </c>
      <c r="E47" s="386" t="n"/>
      <c r="F47" s="101" t="n"/>
    </row>
    <row r="48">
      <c r="A48" s="101" t="n"/>
      <c r="B48" s="101" t="n"/>
      <c r="C48" s="129" t="n"/>
      <c r="D48" s="101" t="n"/>
      <c r="E48" s="101" t="n"/>
      <c r="F48" s="101" t="n"/>
    </row>
  </sheetData>
  <mergeCells count="14">
    <mergeCell ref="D47:E47"/>
    <mergeCell ref="A34:E34"/>
    <mergeCell ref="D30:E30"/>
    <mergeCell ref="A20:E20"/>
    <mergeCell ref="D15:E15"/>
    <mergeCell ref="D33:E33"/>
    <mergeCell ref="D11:E11"/>
    <mergeCell ref="D19:E19"/>
    <mergeCell ref="A1:E1"/>
    <mergeCell ref="D40:E40"/>
    <mergeCell ref="D26:E26"/>
    <mergeCell ref="D9:E9"/>
    <mergeCell ref="D44:E44"/>
    <mergeCell ref="A3:E3"/>
  </mergeCells>
  <dataValidations count="1">
    <dataValidation sqref="A20" showDropDown="1" showInputMessage="0" showErrorMessage="0" allowBlank="1" type="custom">
      <formula1>OR(NOT(ISERROR(DATEVALUE(A20))), AND(ISNUMBER(A20), LEFT(CELL("format", A20))="D"))</formula1>
    </dataValidation>
  </dataValidations>
  <pageMargins left="0.75" right="0.75" top="1" bottom="1" header="0.5" footer="0.5"/>
</worksheet>
</file>

<file path=xl/worksheets/sheet12.xml><?xml version="1.0" encoding="utf-8"?>
<worksheet xmlns="http://schemas.openxmlformats.org/spreadsheetml/2006/main">
  <sheetPr>
    <tabColor rgb="FF222222"/>
    <outlinePr summaryBelow="0" summaryRight="0"/>
    <pageSetUpPr/>
  </sheetPr>
  <dimension ref="A1:C17"/>
  <sheetViews>
    <sheetView workbookViewId="0">
      <selection activeCell="A1" sqref="A1"/>
    </sheetView>
  </sheetViews>
  <sheetFormatPr baseColWidth="8" defaultColWidth="12.63" defaultRowHeight="15.75" customHeight="1"/>
  <cols>
    <col width="42.88" customWidth="1" style="384" min="1" max="1"/>
    <col width="36" customWidth="1" style="384" min="2" max="2"/>
    <col width="5.13" customWidth="1" style="384" min="3" max="3"/>
  </cols>
  <sheetData>
    <row r="1" ht="65.25" customHeight="1" s="384">
      <c r="A1" s="268" t="n"/>
      <c r="B1" s="268" t="n"/>
      <c r="C1" s="268" t="n"/>
    </row>
    <row r="2">
      <c r="A2" s="142" t="inlineStr">
        <is>
          <t>Enviar email desse relatório para auditor, SOFTEX, patrocinador, coordenador local (e implementador se houver)</t>
        </is>
      </c>
      <c r="C2" s="243" t="n"/>
    </row>
    <row r="3">
      <c r="A3" s="268" t="n"/>
      <c r="B3" s="268" t="n"/>
      <c r="C3" s="268" t="n"/>
    </row>
    <row r="4">
      <c r="A4" s="268">
        <f>"Assunto: " &amp; NomeUnidadeOrganizacional &amp; " - Resultado da Avaliação Inicial"</f>
        <v/>
      </c>
      <c r="C4" s="268" t="n"/>
    </row>
    <row r="5">
      <c r="A5" s="268" t="n"/>
      <c r="B5" s="268" t="n"/>
      <c r="C5" s="268" t="n"/>
    </row>
    <row r="6">
      <c r="A6" s="231" t="inlineStr">
        <is>
          <t>Prezados,</t>
        </is>
      </c>
      <c r="C6" s="231" t="n"/>
    </row>
    <row r="7">
      <c r="A7" s="145">
        <f>"A Avaliação MPS-" &amp; SIGLA_MODELO() &amp; " Nível " &amp; NivelSolicitado &amp; " foi finalizada com a(s) seguinte(s) conclusão(ões):"</f>
        <v/>
      </c>
      <c r="C7" s="145" t="n"/>
    </row>
    <row r="8">
      <c r="A8" s="148" t="inlineStr">
        <is>
          <t>Representante da II na Avaliação</t>
        </is>
      </c>
      <c r="B8" s="268">
        <f>DADOS_AVAL!B19</f>
        <v/>
      </c>
      <c r="C8" s="268" t="n"/>
    </row>
    <row r="9">
      <c r="A9" s="148" t="inlineStr">
        <is>
          <t>Nível para a avaliação final</t>
        </is>
      </c>
      <c r="B9" s="268" t="inlineStr">
        <is>
          <t>G - Parcialmente Gerenciado</t>
        </is>
      </c>
      <c r="C9" s="268" t="n"/>
    </row>
    <row r="10">
      <c r="A10" s="148" t="inlineStr">
        <is>
          <t>Marcar a avaliação final para</t>
        </is>
      </c>
      <c r="B10" s="147" t="n"/>
      <c r="C10" s="268" t="n"/>
    </row>
    <row r="11">
      <c r="A11" s="148" t="n"/>
      <c r="B11" s="268" t="n"/>
      <c r="C11" s="268" t="n"/>
    </row>
    <row r="12">
      <c r="A12" s="148" t="n"/>
      <c r="B12" s="268" t="n"/>
      <c r="C12" s="268" t="n"/>
    </row>
    <row r="13">
      <c r="A13" s="148" t="n"/>
      <c r="B13" s="268" t="n"/>
      <c r="C13" s="268" t="n"/>
    </row>
    <row r="14">
      <c r="A14" s="243" t="n"/>
      <c r="B14" s="268" t="n"/>
      <c r="C14" s="268" t="n"/>
    </row>
    <row r="15">
      <c r="A15" s="148" t="inlineStr">
        <is>
          <t>Solicito que seja realizada a auditoria.</t>
        </is>
      </c>
      <c r="B15" s="148" t="n"/>
      <c r="C15" s="268" t="n"/>
    </row>
    <row r="16">
      <c r="A16" s="149" t="inlineStr">
        <is>
          <t>at.te,</t>
        </is>
      </c>
      <c r="C16" s="150" t="n"/>
    </row>
    <row r="17">
      <c r="A17" s="151">
        <f>DADOS_AVAL!C21</f>
        <v/>
      </c>
      <c r="C17" s="151" t="n"/>
    </row>
  </sheetData>
  <mergeCells count="6">
    <mergeCell ref="A4:B4"/>
    <mergeCell ref="A2:B2"/>
    <mergeCell ref="A16:B16"/>
    <mergeCell ref="A7:B7"/>
    <mergeCell ref="A17:B17"/>
    <mergeCell ref="A6:B6"/>
  </mergeCells>
  <dataValidations count="3">
    <dataValidation sqref="A10:A13" showDropDown="0" showInputMessage="0" showErrorMessage="1" allowBlank="1" type="list">
      <formula1>ItensResultadoAvaliacaoInicial</formula1>
    </dataValidation>
    <dataValidation sqref="B9" showDropDown="0" showInputMessage="0" showErrorMessage="0" allowBlank="1" type="list">
      <formula1>NiveisMPS</formula1>
    </dataValidation>
    <dataValidation sqref="B10" showDropDown="1" showInputMessage="0" showErrorMessage="0" allowBlank="1" type="custom">
      <formula1>OR(NOT(ISERROR(DATEVALUE(B10))), AND(ISNUMBER(B10), LEFT(CELL("format", B10))="D"))</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FF222222"/>
    <outlinePr summaryBelow="0" summaryRight="0"/>
    <pageSetUpPr/>
  </sheetPr>
  <dimension ref="A1:E52"/>
  <sheetViews>
    <sheetView showGridLines="0" workbookViewId="0">
      <selection activeCell="A1" sqref="A1"/>
    </sheetView>
  </sheetViews>
  <sheetFormatPr baseColWidth="8" defaultColWidth="12.63" defaultRowHeight="15.75" customHeight="1"/>
  <cols>
    <col width="1.25" customWidth="1" style="384" min="1" max="1"/>
    <col width="31" customWidth="1" style="384" min="2" max="2"/>
    <col width="26.5" customWidth="1" style="384" min="3" max="3"/>
    <col width="31.63" customWidth="1" style="384" min="4" max="4"/>
    <col width="1.5" customWidth="1" style="384" min="5" max="5"/>
  </cols>
  <sheetData>
    <row r="1" ht="65.25" customHeight="1" s="384">
      <c r="A1" s="152" t="n"/>
      <c r="B1" s="274" t="n"/>
      <c r="C1" s="152" t="n"/>
      <c r="D1" s="152" t="n"/>
      <c r="E1" s="93" t="n"/>
    </row>
    <row r="2">
      <c r="A2" s="152" t="n"/>
      <c r="B2" s="154">
        <f t="array" ref="B2"> "RESULTADO DE AVALIAÇÃO DE PROCESSOS DE " &amp; upper(INDIRECT("Processos" &amp; SIGLA_MODELO()))</f>
        <v/>
      </c>
      <c r="E2" s="93" t="n"/>
    </row>
    <row r="3" ht="9" customHeight="1" s="384">
      <c r="A3" s="166" t="n"/>
      <c r="B3" s="274" t="n"/>
      <c r="C3" s="274" t="n"/>
      <c r="D3" s="166" t="n"/>
      <c r="E3" s="93" t="n"/>
    </row>
    <row r="4">
      <c r="A4" s="166" t="n"/>
      <c r="B4" s="167">
        <f>DADOS_EMPRESA!A3</f>
        <v/>
      </c>
      <c r="C4" s="167">
        <f>RazaoSocial</f>
        <v/>
      </c>
      <c r="D4" s="386" t="n"/>
      <c r="E4" s="93" t="n"/>
    </row>
    <row r="5">
      <c r="A5" s="166" t="n"/>
      <c r="B5" s="167" t="inlineStr">
        <is>
          <t>CNPJ:</t>
        </is>
      </c>
      <c r="C5" s="167">
        <f>CNPJS_UO()</f>
        <v/>
      </c>
      <c r="D5" s="386" t="n"/>
      <c r="E5" s="93" t="n"/>
    </row>
    <row r="6">
      <c r="A6" s="166" t="n"/>
      <c r="B6" s="167" t="inlineStr">
        <is>
          <t>Unidade Organizacional Avaliada:</t>
        </is>
      </c>
      <c r="C6" s="390" t="n"/>
      <c r="D6" s="386" t="n"/>
      <c r="E6" s="93" t="n"/>
    </row>
    <row r="7">
      <c r="A7" s="164" t="n"/>
      <c r="B7" s="165" t="inlineStr">
        <is>
          <t>Nome:</t>
        </is>
      </c>
      <c r="C7" s="167">
        <f>NomeUnidadeOrganizacional</f>
        <v/>
      </c>
      <c r="D7" s="386" t="n"/>
      <c r="E7" s="93" t="n"/>
    </row>
    <row r="8">
      <c r="A8" s="164" t="n"/>
      <c r="B8" s="165" t="inlineStr">
        <is>
          <t>Endereço:</t>
        </is>
      </c>
      <c r="C8" s="167">
        <f>ENDERECOS_UO()</f>
        <v/>
      </c>
      <c r="D8" s="386" t="n"/>
      <c r="E8" s="93" t="n"/>
    </row>
    <row r="9">
      <c r="A9" s="164" t="n"/>
      <c r="B9" s="165" t="inlineStr">
        <is>
          <t>Descrição das Atividades da Unidade Organizacional</t>
        </is>
      </c>
      <c r="C9" s="167">
        <f>DescricaoAtividadesUO</f>
        <v/>
      </c>
      <c r="D9" s="386" t="n"/>
      <c r="E9" s="93" t="n"/>
    </row>
    <row r="10">
      <c r="A10" s="164" t="n"/>
      <c r="B10" s="165" t="inlineStr">
        <is>
          <t>Patrocinador da avaliação</t>
        </is>
      </c>
      <c r="C10" s="167">
        <f>DADOS_EMPRESA!B26</f>
        <v/>
      </c>
      <c r="D10" s="386" t="n"/>
      <c r="E10" s="93" t="n"/>
    </row>
    <row r="11" ht="7.5" customHeight="1" s="384">
      <c r="A11" s="166" t="n"/>
      <c r="B11" s="166" t="n"/>
      <c r="C11" s="166" t="n"/>
      <c r="D11" s="166" t="n"/>
      <c r="E11" s="93" t="n"/>
    </row>
    <row r="12">
      <c r="A12" s="166" t="n"/>
      <c r="B12" s="167" t="inlineStr">
        <is>
          <t>Instituição Organizadora de Grupo de Empresas:</t>
        </is>
      </c>
      <c r="C12" s="167">
        <f>IFERROR(__xludf.DUMMYFUNCTION("IFERROR(join("", "",FILTRAR_NAOSEAPLICA(DADOS_AVAL!B17)),""-"")"),"-")</f>
        <v/>
      </c>
      <c r="D12" s="386" t="n"/>
      <c r="E12" s="93" t="n"/>
    </row>
    <row r="13">
      <c r="A13" s="166" t="n"/>
      <c r="B13" s="167" t="inlineStr">
        <is>
          <t>Instituição Implementadora:</t>
        </is>
      </c>
      <c r="C13" s="167">
        <f>IFERROR(__xludf.DUMMYFUNCTION("IFERROR(join("", "",FILTRAR_NAOSEAPLICA(DADOS_AVAL!B18)),""-"")"),"-")</f>
        <v/>
      </c>
      <c r="D13" s="386" t="n"/>
      <c r="E13" s="93" t="n"/>
    </row>
    <row r="14">
      <c r="A14" s="166" t="n"/>
      <c r="B14" s="167" t="inlineStr">
        <is>
          <t>Instituição Avaliadora (IA):</t>
        </is>
      </c>
      <c r="C14" s="167">
        <f>IFERROR(__xludf.DUMMYFUNCTION("IFERROR(join("", "",FILTRAR_NAOSEAPLICA(DADOS_AVAL!B16)),""-"")"),"ASR CONSULTORIA E ASSESSORIA EM QUALIDADE LTDA")</f>
        <v/>
      </c>
      <c r="D14" s="386" t="n"/>
      <c r="E14" s="93" t="n"/>
    </row>
    <row r="15">
      <c r="A15" s="166" t="n"/>
      <c r="B15" s="167" t="inlineStr">
        <is>
          <t>Equipe de Avaliação:</t>
        </is>
      </c>
      <c r="C15" s="390" t="n"/>
      <c r="D15" s="386" t="n"/>
      <c r="E15" s="93" t="n"/>
    </row>
    <row r="16">
      <c r="A16" s="164" t="n"/>
      <c r="B16" s="165" t="inlineStr">
        <is>
          <t xml:space="preserve">Avaliador Líder: </t>
        </is>
      </c>
      <c r="C16" s="167">
        <f>DADOS_AVAL!B21</f>
        <v/>
      </c>
      <c r="D16" s="386" t="n"/>
      <c r="E16" s="172" t="n"/>
    </row>
    <row r="17">
      <c r="A17" s="164" t="n"/>
      <c r="B17" s="165" t="inlineStr">
        <is>
          <t xml:space="preserve">Avaliador(es) Adjunto(s): </t>
        </is>
      </c>
      <c r="C17" s="167">
        <f>IFERROR(__xludf.DUMMYFUNCTION("IFERROR(join("", "",FILTRAR_NAOSEAPLICA(DADOS_AVAL!B23:B27)),""-"")"),"Johnny Marques")</f>
        <v/>
      </c>
      <c r="D17" s="386" t="n"/>
      <c r="E17" s="172" t="n"/>
    </row>
    <row r="18">
      <c r="A18" s="164" t="n"/>
      <c r="B18" s="165" t="inlineStr">
        <is>
          <t>Observador do Avaliador líder:</t>
        </is>
      </c>
      <c r="C18" s="167">
        <f>IFERROR(__xludf.DUMMYFUNCTION("IFERROR(join("", "",FILTRAR_NAOSEAPLICA(DADOS_AVAL!B22)),""-"")"),"-")</f>
        <v/>
      </c>
      <c r="D18" s="386" t="n"/>
      <c r="E18" s="172" t="n"/>
    </row>
    <row r="19">
      <c r="A19" s="164" t="n"/>
      <c r="B19" s="165" t="inlineStr">
        <is>
          <t>Avaliador(es) Representante(s) da Unidade Organizacional:</t>
        </is>
      </c>
      <c r="C19" s="272">
        <f>IFERROR(__xludf.DUMMYFUNCTION("iferror(join("", "",FILTRAR_NAOSEAPLICA(DADOS_AVAL!A30:A32)),""-"")"),"Cezar Hiraki")</f>
        <v/>
      </c>
      <c r="D19" s="386" t="n"/>
      <c r="E19" s="268" t="n"/>
    </row>
    <row r="20" ht="7.5" customHeight="1" s="384">
      <c r="A20" s="166" t="n"/>
      <c r="B20" s="171" t="n"/>
      <c r="C20" s="390" t="n"/>
      <c r="D20" s="390" t="n"/>
      <c r="E20" s="172" t="n"/>
    </row>
    <row r="21">
      <c r="A21" s="166" t="n"/>
      <c r="B21" s="286" t="inlineStr">
        <is>
          <t xml:space="preserve">Método de avaliação: </t>
        </is>
      </c>
      <c r="C21" s="39">
        <f>DADOS_AVAL!B11</f>
        <v/>
      </c>
      <c r="D21" s="386" t="n"/>
      <c r="E21" s="174" t="n"/>
    </row>
    <row r="22">
      <c r="A22" s="166" t="n"/>
      <c r="B22" s="167" t="inlineStr">
        <is>
          <t>Data da Avaliação:</t>
        </is>
      </c>
      <c r="C22" s="399">
        <f>PLANO!E13</f>
        <v/>
      </c>
      <c r="D22" s="386" t="n"/>
      <c r="E22" s="174" t="n"/>
    </row>
    <row r="23">
      <c r="A23" s="166" t="n"/>
      <c r="B23" s="167" t="inlineStr">
        <is>
          <t>Validade da Avaliação:</t>
        </is>
      </c>
      <c r="C23" s="399">
        <f>IFERROR( EDATE((C22-1),36), )</f>
        <v/>
      </c>
      <c r="D23" s="386" t="n"/>
      <c r="E23" s="174" t="n"/>
    </row>
    <row r="24">
      <c r="A24" s="166" t="n"/>
      <c r="B24" s="167" t="inlineStr">
        <is>
          <t>Modelo MPS</t>
        </is>
      </c>
      <c r="C24" s="270">
        <f>DADOS_AVAL!B9</f>
        <v/>
      </c>
      <c r="D24" s="386" t="n"/>
      <c r="E24" s="174" t="n"/>
    </row>
    <row r="25">
      <c r="A25" s="166" t="n"/>
      <c r="B25" s="167" t="inlineStr">
        <is>
          <t>Resultado da avaliação:</t>
        </is>
      </c>
      <c r="C25" s="167">
        <f>"Atendeu aos requisitos de processos e capacidade do Modelo de Referência "&amp; ModeloAvaliado &amp; " do nível " &amp; RESULTADO_INICIAL!B9 &amp; "."</f>
        <v/>
      </c>
      <c r="D25" s="386" t="n"/>
      <c r="E25" s="174" t="n"/>
    </row>
    <row r="26">
      <c r="A26" s="178" t="n"/>
      <c r="B26" s="76" t="inlineStr">
        <is>
          <t>Exclusões de processos e resultados</t>
        </is>
      </c>
      <c r="C26" s="390" t="n"/>
      <c r="D26" s="386" t="n"/>
      <c r="E26" s="174" t="n"/>
    </row>
    <row r="27">
      <c r="A27" s="180" t="n"/>
      <c r="B27" s="182" t="inlineStr">
        <is>
          <t>Processo</t>
        </is>
      </c>
      <c r="C27" s="182">
        <f>PLANO!B4</f>
        <v/>
      </c>
      <c r="D27" s="182">
        <f>PLANO!C4</f>
        <v/>
      </c>
      <c r="E27" s="174" t="n"/>
    </row>
    <row r="28">
      <c r="A28" s="166" t="n"/>
      <c r="B28" s="167">
        <f>PLANO!A5</f>
        <v/>
      </c>
      <c r="C28" s="167">
        <f>PLANO!B5</f>
        <v/>
      </c>
      <c r="D28" s="167">
        <f>PLANO!C5</f>
        <v/>
      </c>
      <c r="E28" s="174" t="n"/>
    </row>
    <row r="29">
      <c r="A29" s="166" t="n"/>
      <c r="B29" s="167">
        <f>PLANO!A6</f>
        <v/>
      </c>
      <c r="C29" s="167">
        <f>PLANO!B6</f>
        <v/>
      </c>
      <c r="D29" s="167">
        <f>PLANO!C6</f>
        <v/>
      </c>
      <c r="E29" s="174" t="n"/>
    </row>
    <row r="30" ht="9" customHeight="1" s="384">
      <c r="A30" s="166" t="n"/>
      <c r="B30" s="274" t="n"/>
      <c r="C30" s="274" t="n"/>
      <c r="D30" s="166" t="n"/>
      <c r="E30" s="174" t="n"/>
    </row>
    <row r="31">
      <c r="A31" s="166" t="n"/>
      <c r="B31" s="183" t="inlineStr">
        <is>
          <t>Processos</t>
        </is>
      </c>
      <c r="C31" s="183" t="inlineStr">
        <is>
          <t>Nível Avaliado</t>
        </is>
      </c>
      <c r="D31" s="183" t="inlineStr">
        <is>
          <t>Resultado</t>
        </is>
      </c>
      <c r="E31" s="174" t="n"/>
    </row>
    <row r="32">
      <c r="A32" s="166" t="n"/>
      <c r="B32" s="184">
        <f t="array" ref="B32:B43">INDIRECT("ProcessosModelo" &amp; SIGLA_MODELO())</f>
        <v/>
      </c>
      <c r="C32" s="71" t="n"/>
      <c r="D32" s="185" t="n"/>
      <c r="E32" s="174" t="n"/>
    </row>
    <row r="33">
      <c r="A33" s="186" t="n"/>
      <c r="B33" s="187" t="inlineStr">
        <is>
          <t>Capacitação</t>
        </is>
      </c>
      <c r="C33" s="71" t="n"/>
      <c r="D33" s="185" t="n"/>
      <c r="E33" s="174" t="n"/>
    </row>
    <row r="34">
      <c r="A34" s="172" t="n"/>
      <c r="B34" s="187" t="inlineStr">
        <is>
          <t xml:space="preserve">Gerência de Configuração </t>
        </is>
      </c>
      <c r="C34" s="71" t="n"/>
      <c r="D34" s="185" t="n"/>
      <c r="E34" s="174" t="n"/>
    </row>
    <row r="35">
      <c r="A35" s="172" t="n"/>
      <c r="B35" s="187" t="inlineStr">
        <is>
          <t xml:space="preserve">Gerência de Decisões </t>
        </is>
      </c>
      <c r="C35" s="71" t="n"/>
      <c r="D35" s="185" t="n"/>
      <c r="E35" s="174" t="n"/>
    </row>
    <row r="36">
      <c r="A36" s="172" t="n"/>
      <c r="B36" s="187" t="inlineStr">
        <is>
          <t>Gerência de Processos</t>
        </is>
      </c>
      <c r="C36" s="71" t="n"/>
      <c r="D36" s="185" t="n"/>
      <c r="E36" s="174" t="n"/>
    </row>
    <row r="37">
      <c r="A37" s="172" t="n"/>
      <c r="B37" s="187" t="inlineStr">
        <is>
          <t>Gerência de Projetos</t>
        </is>
      </c>
      <c r="C37" s="71" t="n"/>
      <c r="D37" s="185" t="n"/>
      <c r="E37" s="174" t="n"/>
    </row>
    <row r="38">
      <c r="A38" s="172" t="n"/>
      <c r="B38" s="188" t="inlineStr">
        <is>
          <t>Integração do Produto</t>
        </is>
      </c>
      <c r="C38" s="71" t="n"/>
      <c r="D38" s="185" t="n"/>
      <c r="E38" s="174" t="n"/>
    </row>
    <row r="39">
      <c r="A39" s="172" t="n"/>
      <c r="B39" s="187" t="inlineStr">
        <is>
          <t>Medição</t>
        </is>
      </c>
      <c r="C39" s="71" t="n"/>
      <c r="D39" s="185" t="n"/>
      <c r="E39" s="174" t="n"/>
    </row>
    <row r="40">
      <c r="A40" s="172" t="n"/>
      <c r="B40" s="187" t="inlineStr">
        <is>
          <t>Gerência Organizacional de Software</t>
        </is>
      </c>
      <c r="C40" s="71" t="n"/>
      <c r="D40" s="185" t="n"/>
      <c r="E40" s="174" t="n"/>
    </row>
    <row r="41">
      <c r="A41" s="172" t="n"/>
      <c r="B41" s="187" t="inlineStr">
        <is>
          <t>Projeto e Construção do Produto</t>
        </is>
      </c>
      <c r="C41" s="71" t="n"/>
      <c r="D41" s="185" t="n"/>
      <c r="E41" s="174" t="n"/>
    </row>
    <row r="42">
      <c r="A42" s="172" t="n"/>
      <c r="B42" s="187" t="inlineStr">
        <is>
          <t>Engenharia de Requisitos</t>
        </is>
      </c>
      <c r="C42" s="71" t="n"/>
      <c r="D42" s="185" t="n"/>
      <c r="E42" s="172" t="n"/>
    </row>
    <row r="43">
      <c r="A43" s="172" t="n"/>
      <c r="B43" s="187" t="inlineStr">
        <is>
          <t>Verificação e Validação</t>
        </is>
      </c>
      <c r="C43" s="71" t="n"/>
      <c r="D43" s="185" t="n"/>
      <c r="E43" s="189" t="n"/>
    </row>
    <row r="44">
      <c r="A44" s="166" t="n"/>
      <c r="B44" s="400" t="inlineStr">
        <is>
          <t>Nível G – Parcialmente Gerenciado</t>
        </is>
      </c>
      <c r="C44" s="386" t="n"/>
      <c r="D44" s="185" t="inlineStr">
        <is>
          <t>Não Avaliado</t>
        </is>
      </c>
      <c r="E44" s="174" t="n"/>
    </row>
    <row r="45">
      <c r="A45" s="166" t="n"/>
      <c r="B45" s="400" t="inlineStr">
        <is>
          <t>Nível F – Gerenciado</t>
        </is>
      </c>
      <c r="C45" s="386" t="n"/>
      <c r="D45" s="185" t="inlineStr">
        <is>
          <t>Não Avaliado</t>
        </is>
      </c>
      <c r="E45" s="174" t="n"/>
    </row>
    <row r="46">
      <c r="A46" s="166" t="n"/>
      <c r="B46" s="401" t="inlineStr">
        <is>
          <t>Nível E – Parcialmente Definido</t>
        </is>
      </c>
      <c r="C46" s="386" t="n"/>
      <c r="D46" s="185" t="inlineStr">
        <is>
          <t>Não Avaliado</t>
        </is>
      </c>
      <c r="E46" s="174" t="n"/>
    </row>
    <row r="47">
      <c r="A47" s="166" t="n"/>
      <c r="B47" s="401" t="inlineStr">
        <is>
          <t>Nível D – Largamente Definido</t>
        </is>
      </c>
      <c r="C47" s="386" t="n"/>
      <c r="D47" s="185" t="inlineStr">
        <is>
          <t>Não Avaliado</t>
        </is>
      </c>
      <c r="E47" s="174" t="n"/>
    </row>
    <row r="48">
      <c r="A48" s="166" t="n"/>
      <c r="B48" s="401" t="inlineStr">
        <is>
          <t>Nível C – Definido</t>
        </is>
      </c>
      <c r="C48" s="386" t="n"/>
      <c r="D48" s="185" t="inlineStr">
        <is>
          <t>Não Avaliado</t>
        </is>
      </c>
      <c r="E48" s="174" t="n"/>
    </row>
    <row r="49">
      <c r="A49" s="166" t="n"/>
      <c r="B49" s="401" t="inlineStr">
        <is>
          <t>Nível B – Gerenciado Quantitativamente</t>
        </is>
      </c>
      <c r="C49" s="386" t="n"/>
      <c r="D49" s="185" t="inlineStr">
        <is>
          <t>Não Avaliado</t>
        </is>
      </c>
      <c r="E49" s="174" t="n"/>
    </row>
    <row r="50">
      <c r="A50" s="178" t="n"/>
      <c r="B50" s="191" t="inlineStr">
        <is>
          <t>Nível A – Em Otimização</t>
        </is>
      </c>
      <c r="C50" s="192" t="n"/>
      <c r="D50" s="185" t="inlineStr">
        <is>
          <t>Não Avaliado</t>
        </is>
      </c>
      <c r="E50" s="174" t="n"/>
    </row>
    <row r="51">
      <c r="A51" s="172" t="n"/>
      <c r="B51" s="193" t="inlineStr">
        <is>
          <t xml:space="preserve">Só deixar os PROCESSOS  do nível correspondente, OCULTANDO os que não fazem parte (não os apague!). 
Este documento deve ser assinado eletronicamente em plataforma com certificado digital ICP. Apagar ou esconder essa linha antes de gerar o PDF. </t>
        </is>
      </c>
      <c r="E51" s="172" t="n"/>
    </row>
    <row r="52">
      <c r="A52" s="172" t="n"/>
      <c r="B52" s="193" t="n"/>
      <c r="E52" s="172" t="n"/>
    </row>
  </sheetData>
  <mergeCells count="31">
    <mergeCell ref="B47:C47"/>
    <mergeCell ref="C24:D24"/>
    <mergeCell ref="C5:D5"/>
    <mergeCell ref="B46:C46"/>
    <mergeCell ref="C14:D14"/>
    <mergeCell ref="C4:D4"/>
    <mergeCell ref="B48:C48"/>
    <mergeCell ref="C10:D10"/>
    <mergeCell ref="C16:D16"/>
    <mergeCell ref="C25:D25"/>
    <mergeCell ref="C22:D22"/>
    <mergeCell ref="C9:D9"/>
    <mergeCell ref="B15:D15"/>
    <mergeCell ref="B6:D6"/>
    <mergeCell ref="B51:D51"/>
    <mergeCell ref="B20:D20"/>
    <mergeCell ref="C12:D12"/>
    <mergeCell ref="B44:C44"/>
    <mergeCell ref="C21:D21"/>
    <mergeCell ref="B26:D26"/>
    <mergeCell ref="C17:D17"/>
    <mergeCell ref="C23:D23"/>
    <mergeCell ref="B49:C49"/>
    <mergeCell ref="C8:D8"/>
    <mergeCell ref="C7:D7"/>
    <mergeCell ref="C19:D19"/>
    <mergeCell ref="B45:C45"/>
    <mergeCell ref="B52:D52"/>
    <mergeCell ref="C13:D13"/>
    <mergeCell ref="C18:D18"/>
    <mergeCell ref="B2:D2"/>
  </mergeCells>
  <conditionalFormatting sqref="D32:D50">
    <cfRule type="cellIs" priority="1" operator="equal" dxfId="1">
      <formula>"Satisfeito"</formula>
    </cfRule>
    <cfRule type="cellIs" priority="2" operator="equal" dxfId="2">
      <formula>"Não Satisfeito"</formula>
    </cfRule>
    <cfRule type="cellIs" priority="3" operator="equal" dxfId="1">
      <formula>"Satisfeito"</formula>
    </cfRule>
  </conditionalFormatting>
  <dataValidations count="3">
    <dataValidation sqref="C32:C43" showDropDown="0" showInputMessage="0" showErrorMessage="0" allowBlank="1" type="list">
      <formula1>PARAMETROS!$D$3:$D$9</formula1>
    </dataValidation>
    <dataValidation sqref="C22:C23" showDropDown="1" showInputMessage="1" showErrorMessage="1" allowBlank="1" prompt="Entre uma data no formato DD/MM/AAAA ou clique duplo para escolher uma data no calendário apresentado." type="custom">
      <formula1>OR(NOT(ISERROR(DATEVALUE(C22))), AND(ISNUMBER(C22), LEFT(CELL("format", C22))="D"))</formula1>
    </dataValidation>
    <dataValidation sqref="D32:D50" showDropDown="0" showInputMessage="0" showErrorMessage="0" allowBlank="1" type="list">
      <formula1>"Satisfeito,Não Satisfeito,Não Avaliado,Fora do escopo,Não Avaliado - Transição"</formula1>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tabColor rgb="FF222222"/>
    <outlinePr summaryBelow="0" summaryRight="0"/>
    <pageSetUpPr/>
  </sheetPr>
  <dimension ref="A1:E54"/>
  <sheetViews>
    <sheetView showGridLines="0" workbookViewId="0">
      <selection activeCell="A1" sqref="A1"/>
    </sheetView>
  </sheetViews>
  <sheetFormatPr baseColWidth="8" defaultColWidth="12.63" defaultRowHeight="15.75" customHeight="1"/>
  <cols>
    <col width="1.25" customWidth="1" style="384" min="1" max="1"/>
    <col width="31" customWidth="1" style="384" min="2" max="2"/>
    <col width="26.5" customWidth="1" style="384" min="3" max="3"/>
    <col width="31.63" customWidth="1" style="384" min="4" max="4"/>
    <col width="1.5" customWidth="1" style="384" min="5" max="5"/>
  </cols>
  <sheetData>
    <row r="1" ht="65.25" customHeight="1" s="384">
      <c r="A1" s="152" t="n"/>
      <c r="B1" s="274" t="n"/>
      <c r="C1" s="152" t="n"/>
      <c r="D1" s="152" t="n"/>
      <c r="E1" s="93" t="n"/>
    </row>
    <row r="2">
      <c r="A2" s="152" t="n"/>
      <c r="B2" s="194" t="inlineStr">
        <is>
          <t>RESULTADO DE AVALIAÇÃO DE PROCESSOS DE RECURSOS HUMANOS</t>
        </is>
      </c>
      <c r="E2" s="93" t="n"/>
    </row>
    <row r="3" ht="9" customHeight="1" s="384">
      <c r="A3" s="166" t="n"/>
      <c r="B3" s="274" t="n"/>
      <c r="C3" s="274" t="n"/>
      <c r="D3" s="166" t="n"/>
      <c r="E3" s="93" t="n"/>
    </row>
    <row r="4">
      <c r="A4" s="166" t="n"/>
      <c r="B4" s="167">
        <f>DADOS_EMPRESA!A3</f>
        <v/>
      </c>
      <c r="C4" s="167">
        <f>RazaoSocial</f>
        <v/>
      </c>
      <c r="D4" s="386" t="n"/>
      <c r="E4" s="93" t="n"/>
    </row>
    <row r="5">
      <c r="A5" s="166" t="n"/>
      <c r="B5" s="167" t="inlineStr">
        <is>
          <t>CNPJ:</t>
        </is>
      </c>
      <c r="C5" s="167">
        <f>CNPJS_UO()</f>
        <v/>
      </c>
      <c r="D5" s="386" t="n"/>
      <c r="E5" s="93" t="n"/>
    </row>
    <row r="6">
      <c r="A6" s="166" t="n"/>
      <c r="B6" s="167" t="inlineStr">
        <is>
          <t>Unidade Organizacional Avaliada:</t>
        </is>
      </c>
      <c r="C6" s="390" t="n"/>
      <c r="D6" s="386" t="n"/>
      <c r="E6" s="93" t="n"/>
    </row>
    <row r="7">
      <c r="A7" s="164" t="n"/>
      <c r="B7" s="165" t="inlineStr">
        <is>
          <t>Nome:</t>
        </is>
      </c>
      <c r="C7" s="167">
        <f>NomeUnidadeOrganizacional</f>
        <v/>
      </c>
      <c r="D7" s="386" t="n"/>
      <c r="E7" s="93" t="n"/>
    </row>
    <row r="8">
      <c r="A8" s="164" t="n"/>
      <c r="B8" s="165" t="inlineStr">
        <is>
          <t>Endereço:</t>
        </is>
      </c>
      <c r="C8" s="167">
        <f>ENDERECOS_UO()</f>
        <v/>
      </c>
      <c r="D8" s="386" t="n"/>
      <c r="E8" s="93" t="n"/>
    </row>
    <row r="9">
      <c r="A9" s="164" t="n"/>
      <c r="B9" s="165" t="inlineStr">
        <is>
          <t>Descrição das Atividades da Unidade Organizacional</t>
        </is>
      </c>
      <c r="C9" s="167">
        <f>DescricaoAtividadesUO</f>
        <v/>
      </c>
      <c r="D9" s="386" t="n"/>
      <c r="E9" s="93" t="n"/>
    </row>
    <row r="10">
      <c r="A10" s="164" t="n"/>
      <c r="B10" s="165" t="inlineStr">
        <is>
          <t>Patrocinador da avaliação</t>
        </is>
      </c>
      <c r="C10" s="167">
        <f>DADOS_EMPRESA!B26</f>
        <v/>
      </c>
      <c r="D10" s="386" t="n"/>
      <c r="E10" s="93" t="n"/>
    </row>
    <row r="11" ht="7.5" customHeight="1" s="384">
      <c r="A11" s="166" t="n"/>
      <c r="B11" s="166" t="n"/>
      <c r="C11" s="166" t="n"/>
      <c r="D11" s="166" t="n"/>
      <c r="E11" s="93" t="n"/>
    </row>
    <row r="12">
      <c r="A12" s="166" t="n"/>
      <c r="B12" s="167" t="inlineStr">
        <is>
          <t>Instituição Organizadora de Grupo de Empresas:</t>
        </is>
      </c>
      <c r="C12" s="167">
        <f>IFERROR(__xludf.DUMMYFUNCTION("IFERROR(join("", "",FILTRAR_NAOSEAPLICA(DADOS_AVAL!B17)),""-"")"),"-")</f>
        <v/>
      </c>
      <c r="D12" s="386" t="n"/>
      <c r="E12" s="93" t="n"/>
    </row>
    <row r="13">
      <c r="A13" s="166" t="n"/>
      <c r="B13" s="167" t="inlineStr">
        <is>
          <t>Instituição Implementadora:</t>
        </is>
      </c>
      <c r="C13" s="167">
        <f>IFERROR(__xludf.DUMMYFUNCTION("IFERROR(join("", "",FILTRAR_NAOSEAPLICA(DADOS_AVAL!B18)),""-"")"),"-")</f>
        <v/>
      </c>
      <c r="D13" s="386" t="n"/>
      <c r="E13" s="93" t="n"/>
    </row>
    <row r="14">
      <c r="A14" s="166" t="n"/>
      <c r="B14" s="167" t="inlineStr">
        <is>
          <t>Instituição Avaliadora (IA):</t>
        </is>
      </c>
      <c r="C14" s="167">
        <f>IFERROR(__xludf.DUMMYFUNCTION("IFERROR(join("", "",FILTRAR_NAOSEAPLICA(DADOS_AVAL!B16)),""-"")"),"ASR CONSULTORIA E ASSESSORIA EM QUALIDADE LTDA")</f>
        <v/>
      </c>
      <c r="D14" s="386" t="n"/>
      <c r="E14" s="93" t="n"/>
    </row>
    <row r="15">
      <c r="A15" s="166" t="n"/>
      <c r="B15" s="167" t="inlineStr">
        <is>
          <t>Equipe de Avaliação:</t>
        </is>
      </c>
      <c r="C15" s="390" t="n"/>
      <c r="D15" s="386" t="n"/>
      <c r="E15" s="93" t="n"/>
    </row>
    <row r="16">
      <c r="A16" s="164" t="n"/>
      <c r="B16" s="165" t="inlineStr">
        <is>
          <t xml:space="preserve">Avaliador Líder: </t>
        </is>
      </c>
      <c r="C16" s="167">
        <f>DADOS_AVAL!B21</f>
        <v/>
      </c>
      <c r="D16" s="386" t="n"/>
      <c r="E16" s="172" t="n"/>
    </row>
    <row r="17">
      <c r="A17" s="164" t="n"/>
      <c r="B17" s="165" t="inlineStr">
        <is>
          <t xml:space="preserve">Avaliador(es) Adjunto(s): </t>
        </is>
      </c>
      <c r="C17" s="167">
        <f>IFERROR(__xludf.DUMMYFUNCTION("IFERROR(join("", "",FILTRAR_NAOSEAPLICA(DADOS_AVAL!B23:B27)),""-"")"),"Johnny Marques")</f>
        <v/>
      </c>
      <c r="D17" s="386" t="n"/>
      <c r="E17" s="172" t="n"/>
    </row>
    <row r="18">
      <c r="A18" s="164" t="n"/>
      <c r="B18" s="165" t="inlineStr">
        <is>
          <t>Observador do Avaliador líder:</t>
        </is>
      </c>
      <c r="C18" s="167">
        <f>IFERROR(__xludf.DUMMYFUNCTION("IFERROR(join("", "",FILTRAR_NAOSEAPLICA(DADOS_AVAL!B22)),""-"")"),"-")</f>
        <v/>
      </c>
      <c r="D18" s="386" t="n"/>
      <c r="E18" s="268" t="n"/>
    </row>
    <row r="19">
      <c r="A19" s="164" t="n"/>
      <c r="B19" s="165" t="inlineStr">
        <is>
          <t>Avaliador(es) Representante(s) da Unidade Organizacional:</t>
        </is>
      </c>
      <c r="C19" s="272">
        <f>IFERROR(__xludf.DUMMYFUNCTION("iferror(join("", "",FILTRAR_NAOSEAPLICA(DADOS_AVAL!A30:A32)),""-"")"),"Cezar Hiraki")</f>
        <v/>
      </c>
      <c r="D19" s="386" t="n"/>
      <c r="E19" s="268" t="n"/>
    </row>
    <row r="20" ht="7.5" customHeight="1" s="384">
      <c r="A20" s="166" t="n"/>
      <c r="B20" s="171" t="n"/>
      <c r="C20" s="390" t="n"/>
      <c r="D20" s="390" t="n"/>
      <c r="E20" s="172" t="n"/>
    </row>
    <row r="21">
      <c r="A21" s="166" t="n"/>
      <c r="B21" s="286" t="inlineStr">
        <is>
          <t xml:space="preserve">Método de avaliação: </t>
        </is>
      </c>
      <c r="C21" s="39" t="inlineStr">
        <is>
          <t xml:space="preserve">MA-MPS (Guia de Avaliação:2023) </t>
        </is>
      </c>
      <c r="D21" s="386" t="n"/>
      <c r="E21" s="174" t="n"/>
    </row>
    <row r="22">
      <c r="A22" s="166" t="n"/>
      <c r="B22" s="167" t="inlineStr">
        <is>
          <t>Data da Avaliação:</t>
        </is>
      </c>
      <c r="C22" s="399">
        <f>PLANO!E13</f>
        <v/>
      </c>
      <c r="D22" s="386" t="n"/>
      <c r="E22" s="174" t="n"/>
    </row>
    <row r="23">
      <c r="A23" s="166" t="n"/>
      <c r="B23" s="167" t="inlineStr">
        <is>
          <t>Validade da Avaliação:</t>
        </is>
      </c>
      <c r="C23" s="402">
        <f>IFERROR( EDATE((D22-1),36), )</f>
        <v/>
      </c>
      <c r="D23" s="386" t="n"/>
      <c r="E23" s="174" t="n"/>
    </row>
    <row r="24">
      <c r="A24" s="166" t="n"/>
      <c r="B24" s="167" t="inlineStr">
        <is>
          <t>Modelo MPS</t>
        </is>
      </c>
      <c r="C24" s="270">
        <f>DADOS_AVAL!B9</f>
        <v/>
      </c>
      <c r="D24" s="386" t="n"/>
      <c r="E24" s="174" t="n"/>
    </row>
    <row r="25">
      <c r="A25" s="166" t="n"/>
      <c r="B25" s="167" t="inlineStr">
        <is>
          <t>Resultado da avaliação:</t>
        </is>
      </c>
      <c r="C25" s="167">
        <f>"Atendeu aos requisitos de processos e capacidade do Modelo de Referência "&amp; DADOS_AVAL!C9 &amp; " do nível " &amp; RESULTADO_INICIAL!B9</f>
        <v/>
      </c>
      <c r="D25" s="386" t="n"/>
      <c r="E25" s="174" t="n"/>
    </row>
    <row r="26">
      <c r="A26" s="178" t="n"/>
      <c r="B26" s="76" t="inlineStr">
        <is>
          <t>Exclusões de processos e resultados</t>
        </is>
      </c>
      <c r="C26" s="390" t="n"/>
      <c r="D26" s="386" t="n"/>
      <c r="E26" s="174" t="n"/>
    </row>
    <row r="27">
      <c r="A27" s="180" t="n"/>
      <c r="B27" s="199" t="inlineStr">
        <is>
          <t>Processo</t>
        </is>
      </c>
      <c r="C27" s="199">
        <f>PLANO!B4</f>
        <v/>
      </c>
      <c r="D27" s="199">
        <f>PLANO!C4</f>
        <v/>
      </c>
      <c r="E27" s="174" t="n"/>
    </row>
    <row r="28">
      <c r="A28" s="166" t="n"/>
      <c r="B28" s="167">
        <f>PLANO!A6</f>
        <v/>
      </c>
      <c r="C28" s="167">
        <f>PLANO!B6</f>
        <v/>
      </c>
      <c r="D28" s="167">
        <f>PLANO!C6</f>
        <v/>
      </c>
      <c r="E28" s="174" t="n"/>
    </row>
    <row r="29" ht="9" customHeight="1" s="384">
      <c r="A29" s="166" t="n"/>
      <c r="B29" s="274" t="n"/>
      <c r="C29" s="274" t="n"/>
      <c r="D29" s="166" t="n"/>
      <c r="E29" s="174" t="n"/>
    </row>
    <row r="30">
      <c r="A30" s="206" t="n"/>
      <c r="B30" s="403" t="inlineStr">
        <is>
          <t>Nível G – Parcialmente Gerenciado</t>
        </is>
      </c>
      <c r="C30" s="390" t="n"/>
      <c r="D30" s="386" t="n"/>
      <c r="E30" s="209" t="n"/>
    </row>
    <row r="31">
      <c r="A31" s="206" t="n"/>
      <c r="B31" s="211" t="inlineStr">
        <is>
          <t>GRC - Gerência de Recursos</t>
        </is>
      </c>
      <c r="C31" s="212" t="n"/>
      <c r="D31" s="213" t="inlineStr">
        <is>
          <t>Não Avaliado</t>
        </is>
      </c>
      <c r="E31" s="209" t="n"/>
    </row>
    <row r="32">
      <c r="A32" s="206" t="n"/>
      <c r="B32" s="211" t="inlineStr">
        <is>
          <t>GPE - Gerência de Pessoas</t>
        </is>
      </c>
      <c r="C32" s="212" t="n"/>
      <c r="D32" s="213" t="inlineStr">
        <is>
          <t>Não Avaliado</t>
        </is>
      </c>
      <c r="E32" s="209" t="n"/>
    </row>
    <row r="33">
      <c r="A33" s="206" t="n"/>
      <c r="B33" s="404" t="inlineStr">
        <is>
          <t>Nível F – Gerenciado</t>
        </is>
      </c>
      <c r="C33" s="405" t="n"/>
      <c r="D33" s="391" t="n"/>
      <c r="E33" s="209" t="n"/>
    </row>
    <row r="34">
      <c r="A34" s="206" t="n"/>
      <c r="B34" s="211" t="inlineStr">
        <is>
          <t>CDV – Capacitação e Desenvolvimento</t>
        </is>
      </c>
      <c r="C34" s="212" t="n"/>
      <c r="D34" s="213" t="inlineStr">
        <is>
          <t>Não Avaliado</t>
        </is>
      </c>
      <c r="E34" s="209" t="n"/>
    </row>
    <row r="35">
      <c r="A35" s="206" t="n"/>
      <c r="B35" s="211" t="inlineStr">
        <is>
          <t>REC – Reconhecimento</t>
        </is>
      </c>
      <c r="C35" s="212" t="n"/>
      <c r="D35" s="213" t="inlineStr">
        <is>
          <t>Não Avaliado</t>
        </is>
      </c>
      <c r="E35" s="209" t="n"/>
    </row>
    <row r="36">
      <c r="A36" s="206" t="n"/>
      <c r="B36" s="404" t="inlineStr">
        <is>
          <t>Nível E – Parcialmente Definido</t>
        </is>
      </c>
      <c r="C36" s="405" t="n"/>
      <c r="D36" s="391" t="n"/>
      <c r="E36" s="209" t="n"/>
    </row>
    <row r="37">
      <c r="A37" s="206" t="n"/>
      <c r="B37" s="211" t="inlineStr">
        <is>
          <t>ACP – Análise de Competências</t>
        </is>
      </c>
      <c r="C37" s="212" t="n"/>
      <c r="D37" s="213" t="inlineStr">
        <is>
          <t>Não Avaliado</t>
        </is>
      </c>
      <c r="E37" s="209" t="n"/>
    </row>
    <row r="38">
      <c r="A38" s="206" t="n"/>
      <c r="B38" s="212" t="inlineStr">
        <is>
          <t>PFT – Planejamento da Força de Trabalho</t>
        </is>
      </c>
      <c r="C38" s="391" t="n"/>
      <c r="D38" s="213" t="inlineStr">
        <is>
          <t>Não Avaliado</t>
        </is>
      </c>
      <c r="E38" s="209" t="n"/>
    </row>
    <row r="39">
      <c r="A39" s="206" t="n"/>
      <c r="B39" s="212" t="inlineStr">
        <is>
          <t>DGT – Desenvolvimento de Grupos de Trabalho</t>
        </is>
      </c>
      <c r="C39" s="391" t="n"/>
      <c r="D39" s="213" t="inlineStr">
        <is>
          <t>Não Avaliado</t>
        </is>
      </c>
      <c r="E39" s="209" t="n"/>
    </row>
    <row r="40">
      <c r="A40" s="206" t="n"/>
      <c r="B40" s="404" t="inlineStr">
        <is>
          <t>Nível D – Largamente Definido</t>
        </is>
      </c>
      <c r="C40" s="405" t="n"/>
      <c r="D40" s="391" t="n"/>
      <c r="E40" s="209" t="n"/>
    </row>
    <row r="41">
      <c r="A41" s="206" t="n"/>
      <c r="B41" s="212" t="inlineStr">
        <is>
          <t>DVC – Desenvolvimento de Competências</t>
        </is>
      </c>
      <c r="C41" s="391" t="n"/>
      <c r="D41" s="213" t="inlineStr">
        <is>
          <t>Não Avaliado</t>
        </is>
      </c>
      <c r="E41" s="209" t="n"/>
    </row>
    <row r="42">
      <c r="A42" s="206" t="n"/>
      <c r="B42" s="212" t="inlineStr">
        <is>
          <t>PBC – Práticas Baseadas em Competências</t>
        </is>
      </c>
      <c r="C42" s="391" t="n"/>
      <c r="D42" s="213" t="inlineStr">
        <is>
          <t>Não Avaliado</t>
        </is>
      </c>
      <c r="E42" s="209" t="n"/>
    </row>
    <row r="43">
      <c r="A43" s="206" t="n"/>
      <c r="B43" s="404" t="inlineStr">
        <is>
          <t>Nível C – Definido</t>
        </is>
      </c>
      <c r="C43" s="405" t="n"/>
      <c r="D43" s="391" t="n"/>
      <c r="E43" s="209" t="n"/>
    </row>
    <row r="44">
      <c r="A44" s="206" t="n"/>
      <c r="B44" s="211" t="inlineStr">
        <is>
          <t>DCA – Desenvolvimento de Carreira</t>
        </is>
      </c>
      <c r="C44" s="212" t="n"/>
      <c r="D44" s="213" t="inlineStr">
        <is>
          <t>Não Avaliado</t>
        </is>
      </c>
      <c r="E44" s="209" t="n"/>
    </row>
    <row r="45">
      <c r="A45" s="206" t="n"/>
      <c r="B45" s="211" t="inlineStr">
        <is>
          <t>MEN – Mentoring</t>
        </is>
      </c>
      <c r="C45" s="212" t="n"/>
      <c r="D45" s="213" t="inlineStr">
        <is>
          <t>Não Avaliado</t>
        </is>
      </c>
      <c r="E45" s="209" t="n"/>
    </row>
    <row r="46">
      <c r="A46" s="206" t="n"/>
      <c r="B46" s="404" t="inlineStr">
        <is>
          <t>Nível B – Gerenciado Quantitativamente</t>
        </is>
      </c>
      <c r="C46" s="405" t="n"/>
      <c r="D46" s="391" t="n"/>
      <c r="E46" s="209" t="n"/>
    </row>
    <row r="47">
      <c r="A47" s="206" t="n"/>
      <c r="B47" s="212" t="inlineStr">
        <is>
          <t>GCP – Gerência da Capacidade Organizacional</t>
        </is>
      </c>
      <c r="C47" s="391" t="n"/>
      <c r="D47" s="213" t="inlineStr">
        <is>
          <t>Não Avaliado</t>
        </is>
      </c>
      <c r="E47" s="209" t="n"/>
    </row>
    <row r="48">
      <c r="A48" s="206" t="n"/>
      <c r="B48" s="212" t="inlineStr">
        <is>
          <t>GQD – Gerência Quantitativa de Desempenho</t>
        </is>
      </c>
      <c r="C48" s="391" t="n"/>
      <c r="D48" s="213" t="inlineStr">
        <is>
          <t>Não Avaliado</t>
        </is>
      </c>
      <c r="E48" s="209" t="n"/>
    </row>
    <row r="49">
      <c r="A49" s="172" t="n"/>
      <c r="B49" s="406" t="inlineStr">
        <is>
          <t>ICG – Integração de Competências e Grupos de Trabalho Habilitados</t>
        </is>
      </c>
      <c r="C49" s="386" t="n"/>
      <c r="D49" s="213" t="inlineStr">
        <is>
          <t>Não Avaliado</t>
        </is>
      </c>
      <c r="E49" s="172" t="n"/>
    </row>
    <row r="50">
      <c r="A50" s="206" t="n"/>
      <c r="B50" s="404" t="inlineStr">
        <is>
          <t>Nível A – Em Otimização</t>
        </is>
      </c>
      <c r="C50" s="405" t="n"/>
      <c r="D50" s="391" t="n"/>
      <c r="E50" s="209" t="n"/>
    </row>
    <row r="51">
      <c r="A51" s="172" t="n"/>
      <c r="B51" s="406" t="inlineStr">
        <is>
          <t>ICF – Inovação Contínua da Força de Trabalho</t>
        </is>
      </c>
      <c r="C51" s="386" t="n"/>
      <c r="D51" s="213" t="inlineStr">
        <is>
          <t>Não Avaliado</t>
        </is>
      </c>
      <c r="E51" s="172" t="n"/>
    </row>
    <row r="52">
      <c r="A52" s="172" t="n"/>
      <c r="B52" s="407" t="inlineStr">
        <is>
          <t>ADO – Alinhamento do Desempenho Organizacional</t>
        </is>
      </c>
      <c r="C52" s="391" t="n"/>
      <c r="D52" s="213" t="inlineStr">
        <is>
          <t>Não Avaliado</t>
        </is>
      </c>
      <c r="E52" s="172" t="n"/>
    </row>
    <row r="53">
      <c r="A53" s="172" t="n"/>
      <c r="B53" s="407" t="inlineStr">
        <is>
          <t>MCC – Melhoria Contínua da Capacidade</t>
        </is>
      </c>
      <c r="C53" s="391" t="n"/>
      <c r="D53" s="213" t="inlineStr">
        <is>
          <t>Não Avaliado</t>
        </is>
      </c>
      <c r="E53" s="172" t="n"/>
    </row>
    <row r="54">
      <c r="A54" s="172" t="n"/>
      <c r="B54" s="268" t="n"/>
      <c r="C54" s="268" t="n"/>
      <c r="D54" s="172" t="n"/>
      <c r="E54" s="172" t="n"/>
    </row>
  </sheetData>
  <mergeCells count="40">
    <mergeCell ref="B47:C47"/>
    <mergeCell ref="C24:D24"/>
    <mergeCell ref="C5:D5"/>
    <mergeCell ref="C14:D14"/>
    <mergeCell ref="C18:D18"/>
    <mergeCell ref="C4:D4"/>
    <mergeCell ref="B39:C39"/>
    <mergeCell ref="B52:C52"/>
    <mergeCell ref="B48:C48"/>
    <mergeCell ref="C10:D10"/>
    <mergeCell ref="C16:D16"/>
    <mergeCell ref="C25:D25"/>
    <mergeCell ref="B42:C42"/>
    <mergeCell ref="B40:D40"/>
    <mergeCell ref="C22:D22"/>
    <mergeCell ref="B30:D30"/>
    <mergeCell ref="C9:D9"/>
    <mergeCell ref="B15:D15"/>
    <mergeCell ref="B6:D6"/>
    <mergeCell ref="B53:C53"/>
    <mergeCell ref="B20:D20"/>
    <mergeCell ref="B33:D33"/>
    <mergeCell ref="C12:D12"/>
    <mergeCell ref="B38:C38"/>
    <mergeCell ref="B36:D36"/>
    <mergeCell ref="C21:D21"/>
    <mergeCell ref="B50:D50"/>
    <mergeCell ref="B26:D26"/>
    <mergeCell ref="C17:D17"/>
    <mergeCell ref="C23:D23"/>
    <mergeCell ref="B49:C49"/>
    <mergeCell ref="C8:D8"/>
    <mergeCell ref="C7:D7"/>
    <mergeCell ref="B46:D46"/>
    <mergeCell ref="B51:C51"/>
    <mergeCell ref="C19:D19"/>
    <mergeCell ref="C13:D13"/>
    <mergeCell ref="B43:D43"/>
    <mergeCell ref="B41:C41"/>
    <mergeCell ref="B2:D2"/>
  </mergeCells>
  <conditionalFormatting sqref="D31:D32 D34:D35 D37:D39 D41:D42">
    <cfRule type="cellIs" priority="1" operator="equal" dxfId="1">
      <formula>"Satisfeito"</formula>
    </cfRule>
    <cfRule type="cellIs" priority="2" operator="equal" dxfId="2">
      <formula>"Não Satisfeito"</formula>
    </cfRule>
    <cfRule type="cellIs" priority="3" operator="equal" dxfId="1">
      <formula>"Satisfeito"</formula>
    </cfRule>
  </conditionalFormatting>
  <dataValidations count="2">
    <dataValidation sqref="D31:D32 D34:D35 D37:D39 D41:D42 D44:D45 D47:D49 D51:D53" showDropDown="0" showInputMessage="0" showErrorMessage="0" allowBlank="1" type="list">
      <formula1>"Satisfeito,Não Satisfeito,Não Avaliado,Fora do Escopo"</formula1>
    </dataValidation>
    <dataValidation sqref="C22:C23" showDropDown="1" showInputMessage="1" showErrorMessage="1" allowBlank="1" prompt="Entre uma data no formato DD/MM/AAAA ou clique duplo para escolher uma data no calendário apresentado." type="custom">
      <formula1>OR(NOT(ISERROR(DATEVALUE(C22))), AND(ISNUMBER(C22), LEFT(CELL("format", C22))="D"))</formula1>
    </dataValidation>
  </dataValidation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75" customHeight="1"/>
  <cols>
    <col width="4.5" customWidth="1" style="384" min="7" max="7"/>
  </cols>
  <sheetData>
    <row r="1" ht="65.25" customHeight="1" s="384">
      <c r="A1" s="268" t="n"/>
    </row>
    <row r="2" ht="12.75" customHeight="1" s="384">
      <c r="A2" s="268" t="n"/>
    </row>
    <row r="3" ht="9" customHeight="1" s="384">
      <c r="A3" s="268" t="n"/>
      <c r="B3" s="268" t="n"/>
    </row>
    <row r="4">
      <c r="A4" s="142" t="inlineStr">
        <is>
          <t>Em avaliações de níveis B ou A, enviar junto com a auditoria da avaliação inicial para auditor as seguintes informações:</t>
        </is>
      </c>
    </row>
    <row r="5" ht="9" customHeight="1" s="384">
      <c r="A5" s="217" t="n"/>
    </row>
    <row r="6">
      <c r="A6" s="218" t="inlineStr">
        <is>
          <t>(i) que baselines de desempenho foram estabelecidas?</t>
        </is>
      </c>
    </row>
    <row r="7">
      <c r="A7" s="218" t="inlineStr">
        <is>
          <t>(ii)que processos foram estabilizados?</t>
        </is>
      </c>
    </row>
    <row r="8">
      <c r="A8" s="218" t="inlineStr">
        <is>
          <t>(iii)Que modelos de desempenho foram desenvolvidos com a descrição de cada um contendo:objetivo, variaveis dependentes e variaveis independentes, qual o efeito nas variaveis dependente de diferentes valores nas variáveis independentes</t>
        </is>
      </c>
    </row>
    <row r="9">
      <c r="A9" s="218" t="inlineStr">
        <is>
          <t>(iv) o que foi verificado com relação à capacidade dos processos para satisfazer os objetivos de negócio</t>
        </is>
      </c>
    </row>
  </sheetData>
  <mergeCells count="8">
    <mergeCell ref="A2:F2"/>
    <mergeCell ref="A1:F1"/>
    <mergeCell ref="A5:F5"/>
    <mergeCell ref="A9:F9"/>
    <mergeCell ref="A8:F8"/>
    <mergeCell ref="A6:F6"/>
    <mergeCell ref="A4:F4"/>
    <mergeCell ref="A7:F7"/>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FF222222"/>
    <outlinePr summaryBelow="0" summaryRight="0"/>
    <pageSetUpPr/>
  </sheetPr>
  <dimension ref="A1:E17"/>
  <sheetViews>
    <sheetView showGridLines="0" workbookViewId="0">
      <selection activeCell="A1" sqref="A1"/>
    </sheetView>
  </sheetViews>
  <sheetFormatPr baseColWidth="8" defaultColWidth="12.63" defaultRowHeight="15.75" customHeight="1"/>
  <cols>
    <col width="1.25" customWidth="1" style="384" min="1" max="1"/>
    <col width="28.5" customWidth="1" style="384" min="2" max="2"/>
    <col width="30.25" customWidth="1" style="384" min="3" max="3"/>
    <col width="38.38" customWidth="1" style="384" min="4" max="4"/>
    <col width="1.5" customWidth="1" style="384" min="5" max="5"/>
  </cols>
  <sheetData>
    <row r="1" ht="65.25" customHeight="1" s="384">
      <c r="A1" s="93" t="n"/>
      <c r="B1" s="251" t="n"/>
      <c r="C1" s="220" t="n"/>
      <c r="D1" s="221" t="n"/>
      <c r="E1" s="93" t="n"/>
    </row>
    <row r="2">
      <c r="A2" s="93" t="n"/>
      <c r="B2" s="408">
        <f t="array" ref="B2"> "Avaliação de Processos de " &amp; INDIRECT("Processos" &amp; SIGLA_MODELO())</f>
        <v/>
      </c>
      <c r="C2" s="388" t="n"/>
      <c r="D2" s="389" t="n"/>
      <c r="E2" s="93" t="n"/>
    </row>
    <row r="3" ht="9" customHeight="1" s="384">
      <c r="A3" s="172" t="n"/>
      <c r="B3" s="223" t="n"/>
      <c r="C3" s="224" t="n"/>
      <c r="D3" s="225" t="n"/>
      <c r="E3" s="93" t="n"/>
    </row>
    <row r="4">
      <c r="A4" s="172" t="n"/>
      <c r="B4" s="226" t="n"/>
      <c r="C4" s="227" t="n"/>
      <c r="D4" s="228" t="n"/>
      <c r="E4" s="174" t="n"/>
    </row>
    <row r="5" ht="51" customHeight="1" s="384">
      <c r="A5" s="172" t="n"/>
      <c r="B5" s="409">
        <f t="array" ref="B5">"A Associação para Promoção da Excelência do Software Brasileiro - Softex declara que possui armazenado o resultado da avaliação de processos de " &amp; LOWER(INDIRECT("Processos" &amp; SIGLA_MODELO())) &amp; " da empresa " &amp; DADOS_EMPRESA!B3 &amp; ", CNPJ " &amp; CNPJS_UO() &amp; ", concluída em " &amp; DAY(PLANO!E13) &amp; "/" &amp; MONTH(PLANO!E13) &amp; "/" &amp; YEAR(PLANO!E13) &amp; ", na sua unidade organizacional " &amp; NomeUnidadeOrganizacional &amp; " em " &amp; CidadeUnidadeOrganizacional &amp; " / " &amp; EstadoUnidadeOrganizacional &amp; ", sob o patrocínio de " &amp;DADOS_EMPRESA!B26 &amp; " - " &amp;DADOS_EMPRESA!B30 &amp; "." &amp; " Esta avaliação tem prazo de validade até "  &amp; DAY(RESULTADO_FINAL!C23) &amp; "/" &amp; MONTH(RESULTADO_FINAL!C23) &amp; "/" &amp; YEAR(RESULTADO_FINAL!C23)  &amp; "." </f>
        <v/>
      </c>
      <c r="D5" s="410" t="n"/>
      <c r="E5" s="174" t="n"/>
    </row>
    <row r="6">
      <c r="A6" s="172" t="n"/>
      <c r="B6" s="226" t="n"/>
      <c r="C6" s="231" t="n"/>
      <c r="D6" s="232" t="n"/>
      <c r="E6" s="172" t="n"/>
    </row>
    <row r="7">
      <c r="A7" s="172" t="n"/>
      <c r="B7" s="409">
        <f>"A avaliação foi conduzida pelo avaliador líder " &amp; DADOS_AVAL!B21 &amp; ", da Instituição Avaliadora (IA) " &amp;DADOS_AVAL!B16 &amp;". Com base no método de avaliação " &amp; MetodoAvaliacao &amp; ", a equipe de avaliação concluiu que a organização atendeu aos requisitos de processos e capacidade do Modelo de Referência " &amp; ModeloAvaliado &amp; " do nível " &amp; RESULTADO_INICIAL!B9 &amp; "."</f>
        <v/>
      </c>
      <c r="D7" s="410" t="n"/>
      <c r="E7" s="172" t="n"/>
    </row>
    <row r="8">
      <c r="A8" s="172" t="n"/>
      <c r="B8" s="233" t="n"/>
      <c r="C8" s="231" t="n"/>
      <c r="D8" s="232" t="n"/>
      <c r="E8" s="172" t="n"/>
    </row>
    <row r="9">
      <c r="A9" s="172" t="n"/>
      <c r="B9" s="234" t="n"/>
      <c r="C9" s="274" t="n"/>
      <c r="D9" s="235" t="n"/>
      <c r="E9" s="172" t="n"/>
    </row>
    <row r="10">
      <c r="A10" s="172" t="n"/>
      <c r="B10" s="233">
        <f> "Brasília-DF, "  &amp; Day(PLANO!E13) &amp; "/" &amp; Month(PLANO!E13) &amp; "/" &amp; Year(PLANO!E13)</f>
        <v/>
      </c>
      <c r="C10" s="231" t="n"/>
      <c r="D10" s="232" t="n"/>
      <c r="E10" s="172" t="n"/>
    </row>
    <row r="11">
      <c r="A11" s="172" t="n"/>
      <c r="B11" s="236" t="n"/>
      <c r="C11" s="231" t="n"/>
      <c r="D11" s="232" t="n"/>
      <c r="E11" s="172" t="n"/>
    </row>
    <row r="12">
      <c r="A12" s="172" t="n"/>
      <c r="B12" s="236" t="n"/>
      <c r="C12" s="231" t="n"/>
      <c r="D12" s="232" t="n"/>
      <c r="E12" s="172" t="n"/>
    </row>
    <row r="13">
      <c r="A13" s="172" t="n"/>
      <c r="B13" s="236" t="n"/>
      <c r="C13" s="231" t="n"/>
      <c r="D13" s="232" t="n"/>
      <c r="E13" s="172" t="n"/>
    </row>
    <row r="14">
      <c r="A14" s="172" t="n"/>
      <c r="B14" s="236" t="n"/>
      <c r="C14" s="231" t="n"/>
      <c r="D14" s="232" t="n"/>
      <c r="E14" s="172" t="n"/>
    </row>
    <row r="15">
      <c r="A15" s="172" t="n"/>
      <c r="B15" s="237">
        <f>DADOS_AVAL!B21</f>
        <v/>
      </c>
      <c r="C15" s="238" t="n"/>
      <c r="D15" s="239" t="n"/>
      <c r="E15" s="172" t="n"/>
    </row>
    <row r="16">
      <c r="A16" s="172" t="n"/>
      <c r="B16" s="240" t="inlineStr">
        <is>
          <t xml:space="preserve">Avaliador Líder    </t>
        </is>
      </c>
      <c r="C16" s="241" t="n"/>
      <c r="D16" s="242" t="inlineStr">
        <is>
          <t>Gestor MPSBR SOFTEX</t>
        </is>
      </c>
      <c r="E16" s="172" t="n"/>
    </row>
    <row r="17">
      <c r="A17" s="172" t="n"/>
      <c r="B17" s="193" t="inlineStr">
        <is>
          <t xml:space="preserve">Este documento deve ser assinado eletronicamente em plataforma com certificado digital ICP. Apagar ou esconder essa linha antes de gerar o PDF. </t>
        </is>
      </c>
      <c r="E17" s="172" t="n"/>
    </row>
  </sheetData>
  <mergeCells count="4">
    <mergeCell ref="B17:D17"/>
    <mergeCell ref="B7:D7"/>
    <mergeCell ref="B5:D5"/>
    <mergeCell ref="B2:D2"/>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0" summaryRight="0"/>
    <pageSetUpPr/>
  </sheetPr>
  <dimension ref="A1:B39"/>
  <sheetViews>
    <sheetView workbookViewId="0">
      <selection activeCell="A1" sqref="A1"/>
    </sheetView>
  </sheetViews>
  <sheetFormatPr baseColWidth="8" defaultColWidth="12.63" defaultRowHeight="15.75" customHeight="1"/>
  <cols>
    <col width="50.13" customWidth="1" style="384" min="1" max="1"/>
    <col width="66.38" customWidth="1" style="384" min="2" max="2"/>
  </cols>
  <sheetData>
    <row r="1">
      <c r="A1" s="243" t="inlineStr">
        <is>
          <t>Enviar email para Thiago Amoras solicitando o envio dos feedbacks, no início da avaliação final (ou dias antes)</t>
        </is>
      </c>
    </row>
    <row r="2">
      <c r="A2" s="349" t="n"/>
      <c r="B2" s="349" t="n"/>
    </row>
    <row r="3">
      <c r="A3" s="349" t="inlineStr">
        <is>
          <t>PARA: thiago@softex.br</t>
        </is>
      </c>
      <c r="B3" s="349" t="n"/>
    </row>
    <row r="4">
      <c r="A4" s="349" t="n"/>
      <c r="B4" s="349" t="n"/>
    </row>
    <row r="5">
      <c r="A5" s="349">
        <f>"ASSUNTO: " &amp; NomeUnidadeOrganizacional &amp; " - Solicitação para envio do Feedback"</f>
        <v/>
      </c>
    </row>
    <row r="6">
      <c r="A6" s="349" t="n"/>
      <c r="B6" s="349" t="n"/>
    </row>
    <row r="7">
      <c r="A7" s="274" t="inlineStr">
        <is>
          <t>Prezado Thiago</t>
        </is>
      </c>
    </row>
    <row r="8">
      <c r="A8" s="349" t="n"/>
      <c r="B8" s="349" t="n"/>
    </row>
    <row r="9">
      <c r="A9" s="349" t="inlineStr">
        <is>
          <t>Foi/Será realizada avaliação final conforme dados abaixo, solicito o envio do link para o fornecimento dos feedbacks:</t>
        </is>
      </c>
    </row>
    <row r="10">
      <c r="A10" s="349" t="inlineStr">
        <is>
          <t>Empresa:</t>
        </is>
      </c>
      <c r="B10" s="349">
        <f>RazaoSocial &amp; " - " &amp; NomeUnidadeOrganizacional</f>
        <v/>
      </c>
    </row>
    <row r="11">
      <c r="A11" s="349" t="inlineStr">
        <is>
          <t>Modelo:</t>
        </is>
      </c>
      <c r="B11" s="349">
        <f>"MPS-" &amp; SIGLA_MODELO()</f>
        <v/>
      </c>
    </row>
    <row r="12">
      <c r="A12" s="349" t="inlineStr">
        <is>
          <t>Nível:</t>
        </is>
      </c>
      <c r="B12" s="349">
        <f>NivelSolicitado</f>
        <v/>
      </c>
    </row>
    <row r="13">
      <c r="A13" s="349" t="inlineStr">
        <is>
          <t>Período da Avaliação Final:</t>
        </is>
      </c>
      <c r="B13" s="349">
        <f>DAY(DADOS_AVAL!B13) &amp; "/" &amp; Month(DADOS_AVAL!B13) &amp; "/" &amp; Year(DADOS_AVAL!B13) &amp; " a " &amp; DAY(DADOS_AVAL!E13) &amp; "/" &amp; Month(DADOS_AVAL!E13) &amp; "/" &amp; Year(DADOS_AVAL!E13)</f>
        <v/>
      </c>
    </row>
    <row r="14">
      <c r="A14" s="349" t="n"/>
      <c r="B14" s="349" t="n"/>
    </row>
    <row r="15">
      <c r="A15" s="349" t="inlineStr">
        <is>
          <t>Seguem os contatos:</t>
        </is>
      </c>
      <c r="B15" s="349" t="n"/>
    </row>
    <row r="16">
      <c r="A16" s="349" t="n"/>
      <c r="B16" s="349" t="n"/>
    </row>
    <row r="17">
      <c r="A17" s="349" t="inlineStr">
        <is>
          <t>1) Patrocinador</t>
        </is>
      </c>
      <c r="B17" s="349" t="inlineStr">
        <is>
          <t>e-mail</t>
        </is>
      </c>
    </row>
    <row r="18">
      <c r="A18" s="349">
        <f>DADOS_EMPRESA!B26</f>
        <v/>
      </c>
      <c r="B18" s="349">
        <f>DADOS_EMPRESA!B27</f>
        <v/>
      </c>
    </row>
    <row r="19">
      <c r="A19" s="349" t="n"/>
      <c r="B19" s="349" t="n"/>
    </row>
    <row r="20">
      <c r="A20" s="349" t="inlineStr">
        <is>
          <t>2) Avaliador Líder</t>
        </is>
      </c>
      <c r="B20" s="349" t="inlineStr">
        <is>
          <t>e-mail</t>
        </is>
      </c>
    </row>
    <row r="21">
      <c r="A21" s="349">
        <f>DADOS_AVAL!B21</f>
        <v/>
      </c>
      <c r="B21" s="349">
        <f>DADOS_AVAL!E21</f>
        <v/>
      </c>
    </row>
    <row r="22">
      <c r="A22" s="349" t="n"/>
      <c r="B22" s="349" t="n"/>
    </row>
    <row r="23">
      <c r="A23" s="274" t="inlineStr">
        <is>
          <t>3) Representantes da empresa</t>
        </is>
      </c>
      <c r="B23" s="349" t="inlineStr">
        <is>
          <t>e-mail</t>
        </is>
      </c>
    </row>
    <row r="24">
      <c r="A24" s="349">
        <f>DADOS_AVAL!A30</f>
        <v/>
      </c>
      <c r="B24" s="349">
        <f>DADOS_AVAL!B30</f>
        <v/>
      </c>
    </row>
    <row r="25">
      <c r="A25" s="349">
        <f>DADOS_AVAL!A32</f>
        <v/>
      </c>
      <c r="B25" s="349">
        <f>DADOS_AVAL!B32</f>
        <v/>
      </c>
    </row>
    <row r="26">
      <c r="A26" s="349" t="n"/>
      <c r="B26" s="349" t="n"/>
    </row>
    <row r="27">
      <c r="A27" s="349" t="inlineStr">
        <is>
          <t>4) Avaliadores Adjuntos</t>
        </is>
      </c>
      <c r="B27" s="349" t="inlineStr">
        <is>
          <t>e-mail</t>
        </is>
      </c>
    </row>
    <row r="28">
      <c r="A28" s="349">
        <f>DADOS_AVAL!B23</f>
        <v/>
      </c>
      <c r="B28" s="349">
        <f>DADOS_AVAL!E23</f>
        <v/>
      </c>
    </row>
    <row r="29">
      <c r="A29" s="349">
        <f>DADOS_AVAL!B24</f>
        <v/>
      </c>
      <c r="B29" s="349">
        <f>DADOS_AVAL!E24</f>
        <v/>
      </c>
    </row>
    <row r="30">
      <c r="A30" s="349">
        <f>DADOS_AVAL!B25</f>
        <v/>
      </c>
      <c r="B30" s="349">
        <f>DADOS_AVAL!E25</f>
        <v/>
      </c>
    </row>
    <row r="31">
      <c r="A31" s="349">
        <f>DADOS_AVAL!B26</f>
        <v/>
      </c>
      <c r="B31" s="349">
        <f>DADOS_AVAL!E26</f>
        <v/>
      </c>
    </row>
    <row r="32">
      <c r="A32" s="349">
        <f>DADOS_AVAL!B27</f>
        <v/>
      </c>
      <c r="B32" s="349">
        <f>DADOS_AVAL!E27</f>
        <v/>
      </c>
    </row>
    <row r="33">
      <c r="A33" s="349" t="n"/>
      <c r="B33" s="349" t="n"/>
    </row>
    <row r="34">
      <c r="A34" s="349" t="inlineStr">
        <is>
          <t>5) Auditor</t>
        </is>
      </c>
      <c r="B34" s="349" t="inlineStr">
        <is>
          <t>&lt;inserir nome do auditor&gt;</t>
        </is>
      </c>
    </row>
    <row r="35">
      <c r="A35" s="349" t="n"/>
      <c r="B35" s="349" t="inlineStr">
        <is>
          <t>&lt;inserir e-mail do auditor&gt;</t>
        </is>
      </c>
    </row>
    <row r="36">
      <c r="A36" s="349" t="n"/>
      <c r="B36" s="349" t="n"/>
    </row>
    <row r="37">
      <c r="A37" s="349" t="n"/>
      <c r="B37" s="349" t="n"/>
    </row>
    <row r="38">
      <c r="A38" s="247" t="inlineStr">
        <is>
          <t>Atenciosamente,</t>
        </is>
      </c>
      <c r="B38" s="349" t="n"/>
    </row>
    <row r="39">
      <c r="A39" s="349" t="n"/>
      <c r="B39" s="349" t="n"/>
    </row>
  </sheetData>
  <mergeCells count="4">
    <mergeCell ref="A9:B9"/>
    <mergeCell ref="A5:B5"/>
    <mergeCell ref="A1:B1"/>
    <mergeCell ref="A7:B7"/>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F49"/>
  <sheetViews>
    <sheetView showGridLines="0" workbookViewId="0">
      <pane ySplit="1" topLeftCell="A2" activePane="bottomLeft" state="frozen"/>
      <selection pane="bottomLeft" activeCell="B3" sqref="B3"/>
    </sheetView>
  </sheetViews>
  <sheetFormatPr baseColWidth="8" defaultColWidth="12.63" defaultRowHeight="15.75" customHeight="1"/>
  <cols>
    <col width="52.75" customWidth="1" style="384" min="1" max="1"/>
    <col width="14" customWidth="1" style="384" min="2" max="2"/>
    <col width="22.5" customWidth="1" style="384" min="3" max="3"/>
    <col width="23.5" customWidth="1" style="384" min="4" max="4"/>
    <col width="13.38" customWidth="1" style="384" min="5" max="5"/>
    <col width="2.38" customWidth="1" style="384" min="6" max="6"/>
  </cols>
  <sheetData>
    <row r="1">
      <c r="A1" s="411">
        <f> "PARECER SOBRE AVALIAÇÃO MR-MPS-"  &amp; SIGLA_MODELO()</f>
        <v/>
      </c>
      <c r="B1" s="390" t="n"/>
      <c r="C1" s="390" t="n"/>
      <c r="D1" s="390" t="n"/>
      <c r="E1" s="386" t="n"/>
      <c r="F1" s="268" t="n"/>
    </row>
    <row r="2" ht="6.75" customHeight="1" s="384">
      <c r="A2" s="58" t="n"/>
      <c r="B2" s="58" t="n"/>
      <c r="C2" s="58" t="n"/>
      <c r="D2" s="58" t="n"/>
      <c r="E2" s="58" t="n"/>
      <c r="F2" s="268" t="n"/>
    </row>
    <row r="3">
      <c r="A3" s="278" t="inlineStr">
        <is>
          <t>Empresa</t>
        </is>
      </c>
      <c r="B3" s="31">
        <f>RazaoSocial</f>
        <v/>
      </c>
      <c r="C3" s="390" t="n"/>
      <c r="D3" s="390" t="n"/>
      <c r="E3" s="386" t="n"/>
      <c r="F3" s="268" t="n"/>
    </row>
    <row r="4">
      <c r="A4" s="278" t="inlineStr">
        <is>
          <t>Nível pretendido:</t>
        </is>
      </c>
      <c r="B4" s="31">
        <f>NivelSolicitado</f>
        <v/>
      </c>
      <c r="C4" s="390" t="n"/>
      <c r="D4" s="390" t="n"/>
      <c r="E4" s="386" t="n"/>
      <c r="F4" s="268" t="n"/>
    </row>
    <row r="5">
      <c r="A5" s="278" t="inlineStr">
        <is>
          <t>Nível obtido:</t>
        </is>
      </c>
      <c r="B5" s="31">
        <f>RESULTADO_INICIAL!B9</f>
        <v/>
      </c>
      <c r="C5" s="390" t="n"/>
      <c r="D5" s="390" t="n"/>
      <c r="E5" s="386" t="n"/>
      <c r="F5" s="268" t="n"/>
    </row>
    <row r="6" ht="15" customHeight="1" s="384">
      <c r="A6" s="250" t="inlineStr">
        <is>
          <t>Auditor:</t>
        </is>
      </c>
      <c r="B6" s="259">
        <f>SOLICITA_FEEDBACK!B34</f>
        <v/>
      </c>
      <c r="C6" s="388" t="n"/>
      <c r="D6" s="388" t="n"/>
      <c r="E6" s="389" t="n"/>
      <c r="F6" s="268" t="n"/>
    </row>
    <row r="7" ht="15" customHeight="1" s="384">
      <c r="A7" s="252" t="inlineStr">
        <is>
          <t>Data auditoria inicial</t>
        </is>
      </c>
      <c r="B7" s="253" t="n"/>
      <c r="C7" s="252" t="inlineStr">
        <is>
          <t>Data auditoria final</t>
        </is>
      </c>
      <c r="D7" s="253" t="n"/>
      <c r="E7" s="386" t="n"/>
      <c r="F7" s="268" t="n"/>
    </row>
    <row r="8" ht="7.5" customHeight="1" s="384">
      <c r="A8" s="255" t="n"/>
      <c r="B8" s="256" t="n"/>
      <c r="C8" s="256" t="n"/>
      <c r="D8" s="256" t="n"/>
      <c r="E8" s="256" t="n"/>
      <c r="F8" s="268" t="n"/>
    </row>
    <row r="9">
      <c r="A9" s="412" t="inlineStr">
        <is>
          <t>AUDITORIA DA AVALIAÇÃO INICIAL</t>
        </is>
      </c>
      <c r="B9" s="405" t="n"/>
      <c r="C9" s="405" t="n"/>
      <c r="D9" s="405" t="n"/>
      <c r="E9" s="391" t="n"/>
      <c r="F9" s="268" t="n"/>
    </row>
    <row r="10">
      <c r="A10" s="258" t="inlineStr">
        <is>
          <t>Apreciação sobre o resultado da avaliação MPS na empresa:</t>
        </is>
      </c>
      <c r="B10" s="259" t="n"/>
      <c r="C10" s="267" t="inlineStr">
        <is>
          <t>Justificativa:</t>
        </is>
      </c>
      <c r="D10" s="390" t="n"/>
      <c r="E10" s="386" t="n"/>
      <c r="F10" s="268" t="n"/>
    </row>
    <row r="11">
      <c r="A11" s="260" t="inlineStr">
        <is>
          <t xml:space="preserve">Parecer Final sobre a Avaliação Inicial: </t>
        </is>
      </c>
      <c r="B11" s="267" t="n"/>
      <c r="C11" s="390" t="n"/>
      <c r="D11" s="390" t="n"/>
      <c r="E11" s="386" t="n"/>
      <c r="F11" s="268" t="n"/>
    </row>
    <row r="12" ht="6.75" customHeight="1" s="384">
      <c r="A12" s="261" t="n"/>
      <c r="B12" s="261" t="n"/>
      <c r="C12" s="261" t="n"/>
      <c r="D12" s="261" t="n"/>
      <c r="E12" s="261" t="n"/>
      <c r="F12" s="268" t="n"/>
    </row>
    <row r="13">
      <c r="A13" s="262" t="inlineStr">
        <is>
          <t>Itens de auditoria</t>
        </is>
      </c>
      <c r="B13" s="262" t="inlineStr">
        <is>
          <t>Aprovado</t>
        </is>
      </c>
      <c r="C13" s="262" t="inlineStr">
        <is>
          <t>Problema</t>
        </is>
      </c>
      <c r="D13" s="262" t="inlineStr">
        <is>
          <t>Correção Solicitada</t>
        </is>
      </c>
      <c r="E13" s="262" t="inlineStr">
        <is>
          <t>Data da Correção</t>
        </is>
      </c>
      <c r="F13" s="268" t="n"/>
    </row>
    <row r="14">
      <c r="A14" s="263" t="inlineStr">
        <is>
          <t>Os dados da UO como Razão Social e Endereço, constantes da aba DADOS DA EMPRESA, estão coerentes com o registro na Receita Federal?
&lt; Acessar o site a seguir para realizar a verificação: https://solucoes.receita.fazenda.gov.br/servicos/cnpjreva/cnpjreva_solicitacao.asp &gt;</t>
        </is>
      </c>
      <c r="B14" s="85" t="n"/>
      <c r="C14" s="267" t="n"/>
      <c r="D14" s="267" t="n"/>
      <c r="E14" s="264" t="n"/>
      <c r="F14" s="268" t="n"/>
    </row>
    <row r="15">
      <c r="A15" s="265" t="inlineStr">
        <is>
          <t>A versão do modelo de referência e do método de avaliação estão corretas?
&lt; Verificar se são versões vigentes. &gt;</t>
        </is>
      </c>
      <c r="B15" s="85" t="n"/>
      <c r="C15" s="267" t="n"/>
      <c r="D15" s="267" t="n"/>
      <c r="E15" s="264" t="n"/>
      <c r="F15" s="268" t="n"/>
    </row>
    <row r="16">
      <c r="A16" s="272" t="inlineStr">
        <is>
          <t>A aba PROJETOS/SERVIÇOS/ÁREAS foi preenchida e a seleção dos projetos/operações ou instâncias/áreas foi registrada? 
&lt; Verificar se todos os itens pertinentes foram preenchidos e se entre os projetos/operações ou instâncias/áreas listados a seleção foi realizada e está registrada. Não cabe ao auditor solicitar registro de novas instâncias a não ser que não esteja registrado o número mínimo para o nível pretendido. &gt;</t>
        </is>
      </c>
      <c r="B16" s="85" t="n"/>
      <c r="C16" s="267" t="n"/>
      <c r="D16" s="267" t="n"/>
      <c r="E16" s="264" t="n"/>
      <c r="F16" s="268" t="n"/>
    </row>
    <row r="17">
      <c r="A17" s="267" t="inlineStr">
        <is>
          <t>A aba PLANO está consistente com os projetos/operações ou instâncias/áreas selecionados? 
&lt; Deve-se verificar a consistência apenas e nada além disso. &gt;</t>
        </is>
      </c>
      <c r="B17" s="85" t="n"/>
      <c r="C17" s="267" t="n"/>
      <c r="D17" s="267" t="n"/>
      <c r="E17" s="264" t="n"/>
      <c r="F17" s="268" t="n"/>
    </row>
    <row r="18">
      <c r="A18" s="267" t="inlineStr">
        <is>
          <t>Exclusões de processos, na aba PLANO, estão documentadas?
&lt; Verificar se as exclusões possíveis de serem realizadas no modelo MPS pertinente foram registradas, caso pertinente. &gt;</t>
        </is>
      </c>
      <c r="B18" s="85" t="n"/>
      <c r="C18" s="267" t="n"/>
      <c r="D18" s="267" t="n"/>
      <c r="E18" s="264" t="n"/>
      <c r="F18" s="268" t="n"/>
    </row>
    <row r="19">
      <c r="A19" s="267" t="inlineStr">
        <is>
          <t>As abas ACORDO_CONFIDENCIALIDADE, CRONOGRAMA INICIAL estão preenchidas para a avaliação inicial? 
&lt; Verificar se as abas estão preenchidas. O Acordo de Confidencialidade pode ainda não estar assinado e em pdf. Verificar se as tarefas essenciais da avaliação inicial constam do cronograma. Caso não constem, deve-se registrar o problema, mas não deve ser solicitada alteração, pois a avaliação inicial já aconteceu. Ter em conta que treinamento pode não ser necessário. &gt;</t>
        </is>
      </c>
      <c r="B19" s="85" t="n"/>
      <c r="C19" s="267" t="n"/>
      <c r="D19" s="267" t="n"/>
      <c r="E19" s="264" t="n"/>
      <c r="F19" s="268" t="n"/>
    </row>
    <row r="20">
      <c r="A20" s="267" t="inlineStr">
        <is>
          <t>A lista de envolvidos nos projetos/operações ou instâncias/áreas (aba EQUIPE) e processos organizacionais (aba EQUIPE_ORG) inclui todos os papéis pertinentes ao modelo e nível MPS avaliado e projetos/operações ou instâncias/áreas selecionados?
&lt; Verificar se as listas estão completas. Neste momento ainda não se precisar ter a decisão sobre os entrevistados. Pode-se ter, mas não é obrigatório. &gt;</t>
        </is>
      </c>
      <c r="B20" s="85" t="n"/>
      <c r="C20" s="267" t="n"/>
      <c r="D20" s="267" t="n"/>
      <c r="E20" s="264" t="n"/>
      <c r="F20" s="268" t="n"/>
    </row>
    <row r="21">
      <c r="A21" s="267" t="inlineStr">
        <is>
          <t>O Acordo de Confidencialidade está com as assinaturas correspondentes e na pasta da avaliação?
&lt; Caso já esteja em pdf e assinado na pasta, verificar se está consistente com as informações da avaliação. Ter em conta que ainda não é obrigatório. &gt;</t>
        </is>
      </c>
      <c r="B21" s="85" t="n"/>
      <c r="C21" s="267" t="n"/>
      <c r="D21" s="267" t="n"/>
      <c r="E21" s="264" t="n"/>
      <c r="F21" s="268" t="n"/>
    </row>
    <row r="22">
      <c r="A22" s="31" t="inlineStr">
        <is>
          <t>O Relatório de Ajustes para a Avaliação Final está coerente com as exigências do Modelo MPS avaliado?  Todos os processos do nível e modelo avaliado estão registrados?
&lt; Verificar: (i) se os “requeridos” são pertinentes de acordo com as exigências do modelo no nível avaliado; (ii) se mesmo processos e CP do nível avaliado sem requeridos ou melhorias estão registrados com a informação de não terem requeridos ou melhorias. &gt;</t>
        </is>
      </c>
      <c r="B22" s="85" t="n"/>
      <c r="C22" s="267" t="n"/>
      <c r="D22" s="267" t="n"/>
      <c r="E22" s="264" t="n"/>
      <c r="F22" s="268" t="n"/>
    </row>
    <row r="23">
      <c r="A23" s="267" t="inlineStr">
        <is>
          <t>O Relatório de Ajustes para a Avaliação Final em pdf e com a assinatura do avaliador líder está disponível na pasta da avaliação?
&lt; Verificar se foi incluída na pasta da avaliação uma versão do Relatório de Ajustes em pdf e assinada pelo avaliador líder. &gt;</t>
        </is>
      </c>
      <c r="B23" s="85" t="n"/>
      <c r="C23" s="267" t="n"/>
      <c r="D23" s="267" t="n"/>
      <c r="E23" s="264" t="n"/>
      <c r="F23" s="268" t="n"/>
    </row>
    <row r="24">
      <c r="A24" s="267" t="inlineStr">
        <is>
          <t>As decisões expressas no Relatório de Avaliação Inicial enviado estão adequadas? Caso pertinente, foi enviada solicitação de avaliação final sem o avaliador adjunto?
&lt; (i) Verificar se o Relatório enviado por e-mail está adequado. Caso contrário, solicitar ajuste e envio de outro e-mail; (ii) caso pertinente, verificar a justificativa de exclusão do avaliador adjunto na avaliação final; (iii) caso tenha havido alteração de patrocinador, verificar se a alteração foi registrada na Planilha de Avaliação. &gt;</t>
        </is>
      </c>
      <c r="B24" s="85" t="n"/>
      <c r="C24" s="267" t="n"/>
      <c r="D24" s="267" t="n"/>
      <c r="E24" s="264" t="n"/>
      <c r="F24" s="268" t="n"/>
    </row>
    <row r="25">
      <c r="A25" s="267" t="inlineStr">
        <is>
          <t>O logo da empresa se encontra na pasta da avaliação?
&lt; Verificar se o logo da empresa já está na pasta da avaliação e, caso não esteja, solicitar que seja colocado até a conclusão da avaliação final. O logo ainda não estar na pasta não impede a auditoria de dar o resultado APROVADO. &gt;</t>
        </is>
      </c>
      <c r="B25" s="85" t="n"/>
      <c r="C25" s="267" t="n"/>
      <c r="D25" s="267" t="n"/>
      <c r="E25" s="264" t="n"/>
      <c r="F25" s="268" t="n"/>
    </row>
    <row r="26">
      <c r="A26" s="267" t="inlineStr">
        <is>
          <t>(para avaliações níveis A e B) O relatório para Níveis A e B foi enviado para auditoria contendo os itens estabelecidos e seu conteúdo está adequado?</t>
        </is>
      </c>
      <c r="B26" s="85" t="n"/>
      <c r="C26" s="267" t="n"/>
      <c r="D26" s="267" t="n"/>
      <c r="E26" s="264" t="n"/>
      <c r="F26" s="268" t="n"/>
    </row>
    <row r="27" ht="7.5" customHeight="1" s="384">
      <c r="A27" s="268" t="n"/>
      <c r="B27" s="268" t="n"/>
      <c r="C27" s="268" t="n"/>
      <c r="D27" s="268" t="n"/>
      <c r="E27" s="268" t="n"/>
      <c r="F27" s="268" t="n"/>
    </row>
    <row r="28">
      <c r="A28" s="269" t="inlineStr">
        <is>
          <t>AUDITORIA DA AVALIAÇÃO FINAL</t>
        </is>
      </c>
      <c r="B28" s="388" t="n"/>
      <c r="C28" s="388" t="n"/>
      <c r="D28" s="388" t="n"/>
      <c r="E28" s="388" t="n"/>
      <c r="F28" s="268" t="n"/>
    </row>
    <row r="29">
      <c r="A29" s="258" t="inlineStr">
        <is>
          <t>Apreciação sobre o resultado da avaliação MPS na empresa:</t>
        </is>
      </c>
      <c r="B29" s="259" t="n"/>
      <c r="C29" s="267" t="inlineStr">
        <is>
          <t>Justificativa:</t>
        </is>
      </c>
      <c r="D29" s="390" t="n"/>
      <c r="E29" s="386" t="n"/>
      <c r="F29" s="268" t="n"/>
    </row>
    <row r="30">
      <c r="A30" s="260" t="inlineStr">
        <is>
          <t xml:space="preserve">Parecer Final sobre a Avaliação Final: </t>
        </is>
      </c>
      <c r="B30" s="267" t="n"/>
      <c r="C30" s="390" t="n"/>
      <c r="D30" s="390" t="n"/>
      <c r="E30" s="386" t="n"/>
      <c r="F30" s="268" t="n"/>
    </row>
    <row r="31" ht="6.75" customHeight="1" s="384">
      <c r="A31" s="270" t="n"/>
      <c r="B31" s="172" t="n"/>
      <c r="C31" s="172" t="n"/>
      <c r="D31" s="172" t="n"/>
      <c r="E31" s="172" t="n"/>
      <c r="F31" s="268" t="n"/>
    </row>
    <row r="32">
      <c r="A32" s="262" t="inlineStr">
        <is>
          <t>Itens de auditoria</t>
        </is>
      </c>
      <c r="B32" s="262" t="inlineStr">
        <is>
          <t>Aprovado</t>
        </is>
      </c>
      <c r="C32" s="262" t="inlineStr">
        <is>
          <t>Problema</t>
        </is>
      </c>
      <c r="D32" s="262" t="inlineStr">
        <is>
          <t>Correção Solicitada</t>
        </is>
      </c>
      <c r="E32" s="262" t="inlineStr">
        <is>
          <t>Data da Correção</t>
        </is>
      </c>
      <c r="F32" s="268" t="n"/>
    </row>
    <row r="33">
      <c r="A33" s="267" t="inlineStr">
        <is>
          <t>Os projetos/operações ou instâncias/áreas incluídos para ajustes estão listadas nas abas PROJETOS/SERVIÇOS/ÁREAS e PLANO?
&lt; Verificar se os projetos/operações ou instâncias/áreas para evidenciar os ajustes para a avaliação final foram incluídos nas abas PROJETOS/SERVIÇOS/ÁREAS e PLANO. &gt;</t>
        </is>
      </c>
      <c r="B33" s="85" t="n"/>
      <c r="C33" s="267" t="n"/>
      <c r="D33" s="267" t="n"/>
      <c r="E33" s="271" t="n"/>
      <c r="F33" s="268" t="n"/>
    </row>
    <row r="34" ht="44.25" customHeight="1" s="384">
      <c r="A34" s="31" t="inlineStr">
        <is>
          <t>A lista de envolvidos nos projetos/operações ou instâncias/áreas (aba EQUIPE) e processos organizacionais (aba EQUIPE_ORG) inclui todos os papéis pertinentes ao nível MPS avaliado e nos projetos/operações ou instâncias/áreas selecionados (incluindo os necessários para os ajustes) e a seleção dos entrevistados foi registrada nestas abas?
&lt; Verificar se as listas estão completas e se estão selecionados os entrevistados. &gt;</t>
        </is>
      </c>
      <c r="B34" s="85" t="n"/>
      <c r="C34" s="267" t="n"/>
      <c r="D34" s="267" t="n"/>
      <c r="E34" s="271" t="n"/>
      <c r="F34" s="268" t="n"/>
    </row>
    <row r="35">
      <c r="A35" s="31" t="inlineStr">
        <is>
          <t>Foi elaborado o cronograma da avaliação final com as atividades pertinentes e indicação dos participantes nas entrevistas?
&lt; Verificar: (i) se as atividades obrigatórias na avaliação final foram planejadas; (ii) se as entrevistas foram registradas com os processos considerados e os participantes em cada uma. &gt;</t>
        </is>
      </c>
      <c r="B35" s="85" t="n"/>
      <c r="C35" s="267" t="n"/>
      <c r="D35" s="267" t="n"/>
      <c r="E35" s="271" t="n"/>
      <c r="F35" s="268" t="n"/>
    </row>
    <row r="36">
      <c r="A36" s="31" t="inlineStr">
        <is>
          <t>Se houve alteração de patrocinador ou composição da equipe, todas as informações estão corretamente registradas na aba RESULTADO_INICIAL?
&lt; (i) Verificar se o Relatório enviado por e-mail está atualizado. Caso contrário, solicitar ajuste e envio de outro e-mail; (ii) caso pertinente, verificar se foi enviada, após a auditoria da avaliação inicial, a justificativa de exclusão do avaliador adjunto na avaliação final; (iii) caso tenha havido alteração de patrocinador, verificar se a alteração foi registrada na Planilha de Avaliação. Ter em conta que mesmo não participando da avaliação final, o avaliador adjunto não deve ser excluído da aba pertinente na Planilha de Avaliação. &gt;</t>
        </is>
      </c>
      <c r="B36" s="85" t="n"/>
      <c r="C36" s="267" t="n"/>
      <c r="D36" s="267" t="n"/>
      <c r="E36" s="271" t="n"/>
      <c r="F36" s="268" t="n"/>
    </row>
    <row r="37">
      <c r="A37" s="272" t="inlineStr">
        <is>
          <t>Caso não tenha sido assinado na avaliação inicial, ou se houve alteração de patrocinador/composição de equipe, o Acordo de Confidencialidade (em pdf) está consistente com as informações da avaliação e está com as assinaturas adequadas na pasta de avaliação?
&lt; Ter em conta que a exclusão de um membro da equipe de avaliação na avaliação final não é razão para alteração do Acordo de Confidencialidade. &gt;</t>
        </is>
      </c>
      <c r="B37" s="85" t="n"/>
      <c r="C37" s="118" t="n"/>
      <c r="D37" s="118" t="n"/>
      <c r="E37" s="273" t="n"/>
      <c r="F37" s="274" t="n"/>
    </row>
    <row r="38">
      <c r="A38" s="272" t="inlineStr">
        <is>
          <t>O Relatório de Ajustes para a Avaliação Final, na versão para avaliação final, está em pdf com a assinatura do avaliador líder e disponível na pasta da avaliação?
Se não houver requerido o Relatório de Ajustes para a Avaliação Final não é necessário gerar outra versão do Relatório de Ajustes.
&lt; Ter em conta que quem preenche o Relatório de Ajustes entre a avaliação inicial e final é a empresa. Portanto, cabe ao avaliador líder apenas assinar e gerar o pdf. Não cabe ao avaliador líder completar ou alterar este documento. Portanto, o Relatório pode não estar correto ou completo. &gt;</t>
        </is>
      </c>
      <c r="B38" s="85" t="n"/>
      <c r="C38" s="276" t="n"/>
      <c r="D38" s="276" t="n"/>
      <c r="E38" s="277" t="n"/>
      <c r="F38" s="268" t="n"/>
    </row>
    <row r="39">
      <c r="A39" s="272" t="inlineStr">
        <is>
          <t>O Resultado da Avaliação Final está preenchido corretamente na aba RESULTADO_FINAL, foi gerado o seu pdf com a assinatura do avaliador líder e está disponível na pasta da avaliação?</t>
        </is>
      </c>
      <c r="B39" s="85" t="n"/>
      <c r="C39" s="276" t="n"/>
      <c r="D39" s="276" t="n"/>
      <c r="E39" s="277" t="n"/>
      <c r="F39" s="268" t="n"/>
    </row>
    <row r="40">
      <c r="A40" s="267" t="inlineStr">
        <is>
          <t>A "Apresentação Resultado Final" da avaliação está correta e consistente com o Relatório de Ajustes?
&lt; Ter em conta que podem ter ocorrido alterações devido às entrevistas. Em caso de dúvida, esclarecer com o avaliador líder. &gt;</t>
        </is>
      </c>
      <c r="B40" s="85" t="n"/>
      <c r="C40" s="267" t="n"/>
      <c r="D40" s="267" t="n"/>
      <c r="E40" s="271" t="n"/>
      <c r="F40" s="268" t="n"/>
    </row>
    <row r="41">
      <c r="A41" s="267" t="inlineStr">
        <is>
          <t>A "Apresentação Resultado Final" está assinada pelo avaliador líder e o pdf disponível na pasta da avaliação?</t>
        </is>
      </c>
      <c r="B41" s="85" t="n"/>
      <c r="C41" s="267" t="n"/>
      <c r="D41" s="267" t="n"/>
      <c r="E41" s="271" t="n"/>
      <c r="F41" s="268" t="n"/>
    </row>
    <row r="42">
      <c r="A42" s="31" t="inlineStr">
        <is>
          <t>A "Apresentação Resultado Final" está com formato adequado para ser enviado à empresa? 
&lt; Verificar formatação do pdf etc.&gt;</t>
        </is>
      </c>
      <c r="B42" s="85" t="n"/>
      <c r="C42" s="267" t="n"/>
      <c r="D42" s="267" t="n"/>
      <c r="E42" s="271" t="n"/>
      <c r="F42" s="268" t="n"/>
    </row>
    <row r="43">
      <c r="A43" s="31" t="inlineStr">
        <is>
          <t>A Declaração da Avaliação está consistente com o resultado da avaliação, está em pdf com a assinatura do avaliador líder e disponível na pasta da avaliação?</t>
        </is>
      </c>
      <c r="B43" s="85" t="n"/>
      <c r="C43" s="267" t="n"/>
      <c r="D43" s="267" t="n"/>
      <c r="E43" s="267" t="n"/>
      <c r="F43" s="268" t="n"/>
    </row>
    <row r="44">
      <c r="A44" s="267" t="inlineStr">
        <is>
          <t xml:space="preserve">Os feedbacks foram preenchidos? 
&lt; Verificar se houve o recebimento da informação via SOFTEX, contendo resultados do patrocinador e da equipe avaliadora. Outros envolvidos são opcionais.&gt; </t>
        </is>
      </c>
      <c r="B44" s="85" t="n"/>
      <c r="C44" s="267" t="n"/>
      <c r="D44" s="267" t="n"/>
      <c r="E44" s="267" t="n"/>
      <c r="F44" s="268" t="n"/>
    </row>
    <row r="45">
      <c r="A45" s="278" t="inlineStr">
        <is>
          <t>Outras observações</t>
        </is>
      </c>
      <c r="B45" s="280" t="n"/>
      <c r="C45" s="280" t="n"/>
      <c r="D45" s="280" t="n"/>
      <c r="E45" s="280" t="n"/>
      <c r="F45" s="268" t="n"/>
    </row>
    <row r="46">
      <c r="A46" s="281" t="inlineStr">
        <is>
          <t>Caso pertinente, foi enviada justificativa da caracterização do resultado?
&lt; Caso a caracterização não seja óbvia de acordo com as regras do método de avaliação MPS, verificar se foi enviada justificativa de caracterização. &gt;</t>
        </is>
      </c>
      <c r="B46" s="346" t="n"/>
      <c r="C46" s="346" t="n"/>
      <c r="D46" s="347" t="n"/>
      <c r="E46" s="285" t="n"/>
      <c r="F46" s="268" t="n"/>
    </row>
    <row r="47">
      <c r="A47" s="286" t="inlineStr">
        <is>
          <t>A justificativa da caracterização do resultado está adequada e é pertinente?</t>
        </is>
      </c>
      <c r="B47" s="346" t="n"/>
      <c r="C47" s="346" t="n"/>
      <c r="D47" s="347" t="n"/>
      <c r="E47" s="285" t="n"/>
      <c r="F47" s="268" t="n"/>
    </row>
    <row r="48">
      <c r="A48" s="278" t="inlineStr">
        <is>
          <t>Feedbacks relevantes para melhoria (transcrever os feedbacks sem identificar quem escreveu)</t>
        </is>
      </c>
      <c r="B48" s="390" t="n"/>
      <c r="C48" s="390" t="n"/>
      <c r="D48" s="390" t="n"/>
      <c r="E48" s="386" t="n"/>
      <c r="F48" s="268" t="n"/>
    </row>
    <row r="49" ht="194.25" customHeight="1" s="384">
      <c r="A49" s="267" t="n"/>
      <c r="B49" s="390" t="n"/>
      <c r="C49" s="390" t="n"/>
      <c r="D49" s="390" t="n"/>
      <c r="E49" s="386" t="n"/>
      <c r="F49" s="268" t="n"/>
    </row>
  </sheetData>
  <mergeCells count="14">
    <mergeCell ref="A48:E48"/>
    <mergeCell ref="D7:E7"/>
    <mergeCell ref="B4:E4"/>
    <mergeCell ref="A28:E28"/>
    <mergeCell ref="B6:E6"/>
    <mergeCell ref="B30:E30"/>
    <mergeCell ref="A49:E49"/>
    <mergeCell ref="B11:E11"/>
    <mergeCell ref="A1:E1"/>
    <mergeCell ref="B3:E3"/>
    <mergeCell ref="B5:E5"/>
    <mergeCell ref="C29:E29"/>
    <mergeCell ref="A9:E9"/>
    <mergeCell ref="C10:E10"/>
  </mergeCells>
  <conditionalFormatting sqref="B14:B26 B33:B44 B46:B47">
    <cfRule type="cellIs" priority="1" operator="equal" dxfId="2">
      <formula>"Não"</formula>
    </cfRule>
  </conditionalFormatting>
  <dataValidations count="4">
    <dataValidation sqref="B14:B26 B33:B44 B46:B47" showDropDown="0" showInputMessage="0" showErrorMessage="1" allowBlank="1" type="list">
      <formula1>ResultadoItemAuditoria</formula1>
    </dataValidation>
    <dataValidation sqref="B10 B29" showDropDown="0" showInputMessage="0" showErrorMessage="1" allowBlank="1" type="list">
      <formula1>ResultadoAuditoria</formula1>
    </dataValidation>
    <dataValidation sqref="B11 B30" showDropDown="0" showInputMessage="0" showErrorMessage="1" allowBlank="1" type="list">
      <formula1>ParecerFinalAuditoria</formula1>
    </dataValidation>
    <dataValidation sqref="B7 D7" showDropDown="1" showInputMessage="0" showErrorMessage="0" allowBlank="1" type="custom">
      <formula1>OR(NOT(ISERROR(DATEVALUE(B7))), AND(ISNUMBER(B7), LEFT(CELL("format", B7))="D"))</formula1>
    </dataValidation>
  </dataValidations>
  <hyperlinks>
    <hyperlink xmlns:r="http://schemas.openxmlformats.org/officeDocument/2006/relationships" ref="A14" r:id="rId1"/>
  </hyperlink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S208"/>
  <sheetViews>
    <sheetView workbookViewId="0">
      <selection activeCell="A1" sqref="A1"/>
    </sheetView>
  </sheetViews>
  <sheetFormatPr baseColWidth="8" defaultColWidth="12.63" defaultRowHeight="15.75" customHeight="1"/>
  <cols>
    <col width="31" customWidth="1" style="384" min="1" max="1"/>
    <col width="5" customWidth="1" style="384" min="2" max="3"/>
    <col width="39.5" customWidth="1" style="384" min="4" max="4"/>
    <col width="32.38" customWidth="1" style="384" min="5" max="5"/>
    <col width="31.25" customWidth="1" style="384" min="6" max="6"/>
    <col width="25.13" customWidth="1" style="384" min="7" max="11"/>
    <col width="10.88" customWidth="1" style="384" min="12" max="12"/>
    <col width="11.88" customWidth="1" style="384" min="13" max="13"/>
    <col width="10.88" customWidth="1" style="384" min="14" max="14"/>
    <col width="14.38" customWidth="1" style="384" min="15" max="15"/>
    <col width="14.13" customWidth="1" style="384" min="16" max="16"/>
    <col width="25.13" customWidth="1" style="384" min="17" max="19"/>
  </cols>
  <sheetData>
    <row r="1">
      <c r="A1" s="101" t="n"/>
      <c r="B1" s="101" t="n"/>
      <c r="C1" s="101" t="n"/>
      <c r="D1" s="101" t="n"/>
      <c r="E1" s="101" t="n"/>
      <c r="F1" s="101" t="n"/>
      <c r="G1" s="101" t="n"/>
      <c r="H1" s="101" t="n"/>
      <c r="I1" s="101" t="n"/>
      <c r="J1" s="101" t="n"/>
      <c r="K1" s="101" t="n"/>
      <c r="L1" s="101" t="n"/>
      <c r="M1" s="101" t="n"/>
      <c r="N1" s="101" t="n"/>
      <c r="O1" s="101" t="n"/>
      <c r="P1" s="101" t="n"/>
      <c r="Q1" s="101" t="n"/>
      <c r="R1" s="101" t="n"/>
      <c r="S1" s="101" t="n"/>
    </row>
    <row r="2">
      <c r="A2" s="342" t="inlineStr">
        <is>
          <t>Versões dos Modelos MPS</t>
        </is>
      </c>
      <c r="B2" s="349" t="n"/>
      <c r="C2" s="349" t="n"/>
      <c r="D2" s="342" t="inlineStr">
        <is>
          <t>Níveis MPS</t>
        </is>
      </c>
      <c r="E2" s="342" t="inlineStr">
        <is>
          <t>Taxa SOFTEX - Não Associado</t>
        </is>
      </c>
      <c r="F2" s="342" t="inlineStr">
        <is>
          <t>Taxa SOFTEX - Associado</t>
        </is>
      </c>
      <c r="G2" s="349" t="n"/>
      <c r="H2" s="290" t="inlineStr">
        <is>
          <t>Variações de "Não se aplica"</t>
        </is>
      </c>
      <c r="I2" s="349" t="n"/>
      <c r="J2" s="349" t="n"/>
      <c r="K2" s="349" t="n"/>
      <c r="L2" s="349" t="n"/>
      <c r="M2" s="349" t="n"/>
      <c r="N2" s="349" t="n"/>
      <c r="O2" s="349" t="n"/>
      <c r="P2" s="349" t="n"/>
      <c r="Q2" s="349" t="n"/>
      <c r="R2" s="349" t="n"/>
      <c r="S2" s="349" t="n"/>
    </row>
    <row r="3">
      <c r="A3" s="325" t="inlineStr">
        <is>
          <t>MPS-SW Versão 2024</t>
        </is>
      </c>
      <c r="B3" s="349" t="n"/>
      <c r="C3" s="349" t="n"/>
      <c r="D3" s="325" t="inlineStr">
        <is>
          <t>A - Em Otimização</t>
        </is>
      </c>
      <c r="E3" s="293" t="n">
        <v>8838</v>
      </c>
      <c r="F3" s="293" t="n">
        <v>8078</v>
      </c>
      <c r="G3" s="349" t="n"/>
      <c r="H3" s="364" t="inlineStr">
        <is>
          <t>NA</t>
        </is>
      </c>
      <c r="I3" s="349" t="n"/>
      <c r="J3" s="349" t="n"/>
      <c r="K3" s="349" t="n"/>
      <c r="L3" s="349" t="n"/>
      <c r="M3" s="349" t="n"/>
      <c r="N3" s="349" t="n"/>
      <c r="O3" s="349" t="n"/>
      <c r="P3" s="349" t="n"/>
      <c r="Q3" s="349" t="n"/>
      <c r="R3" s="349" t="n"/>
      <c r="S3" s="349" t="n"/>
    </row>
    <row r="4">
      <c r="A4" s="364" t="inlineStr">
        <is>
          <t>MPS-SV Versão 2024</t>
        </is>
      </c>
      <c r="B4" s="349" t="n"/>
      <c r="C4" s="349" t="n"/>
      <c r="D4" s="325" t="inlineStr">
        <is>
          <t>B - Gerenciado Quantitativamente</t>
        </is>
      </c>
      <c r="E4" s="293" t="n">
        <v>7791</v>
      </c>
      <c r="F4" s="293" t="n">
        <v>7121</v>
      </c>
      <c r="G4" s="349" t="n"/>
      <c r="H4" s="364" t="inlineStr">
        <is>
          <t>N/A</t>
        </is>
      </c>
      <c r="I4" s="349" t="n"/>
      <c r="J4" s="349" t="n"/>
      <c r="K4" s="349" t="n"/>
      <c r="L4" s="349" t="n"/>
      <c r="M4" s="349" t="n"/>
      <c r="N4" s="349" t="n"/>
      <c r="O4" s="349" t="n"/>
      <c r="P4" s="349" t="n"/>
      <c r="Q4" s="349" t="n"/>
      <c r="R4" s="349" t="n"/>
      <c r="S4" s="349" t="n"/>
    </row>
    <row r="5">
      <c r="A5" s="364" t="inlineStr">
        <is>
          <t>MPS-RH Versão 2016</t>
        </is>
      </c>
      <c r="B5" s="349" t="n"/>
      <c r="C5" s="349" t="n"/>
      <c r="D5" s="364" t="inlineStr">
        <is>
          <t>C - Definido</t>
        </is>
      </c>
      <c r="E5" s="297" t="n">
        <v>6861</v>
      </c>
      <c r="F5" s="297" t="n">
        <v>6271</v>
      </c>
      <c r="G5" s="349" t="n"/>
      <c r="H5" s="364" t="inlineStr">
        <is>
          <t>Não se aplica</t>
        </is>
      </c>
      <c r="I5" s="349" t="n"/>
      <c r="J5" s="349" t="n"/>
      <c r="K5" s="349" t="n"/>
      <c r="L5" s="349" t="n"/>
      <c r="M5" s="349" t="n"/>
      <c r="N5" s="349" t="n"/>
      <c r="O5" s="349" t="n"/>
      <c r="P5" s="349" t="n"/>
      <c r="Q5" s="349" t="n"/>
      <c r="R5" s="349" t="n"/>
      <c r="S5" s="349" t="n"/>
    </row>
    <row r="6">
      <c r="A6" s="364" t="n"/>
      <c r="B6" s="349" t="n"/>
      <c r="C6" s="349" t="n"/>
      <c r="D6" s="364" t="inlineStr">
        <is>
          <t>D - Largamente Definido</t>
        </is>
      </c>
      <c r="E6" s="297" t="n">
        <v>5989</v>
      </c>
      <c r="F6" s="297" t="n">
        <v>5474</v>
      </c>
      <c r="G6" s="349" t="n"/>
      <c r="H6" s="364" t="inlineStr">
        <is>
          <t>-</t>
        </is>
      </c>
      <c r="I6" s="349" t="n"/>
      <c r="J6" s="349" t="n"/>
      <c r="K6" s="349" t="n"/>
      <c r="L6" s="349" t="n"/>
      <c r="M6" s="349" t="n"/>
      <c r="N6" s="349" t="n"/>
      <c r="O6" s="349" t="n"/>
      <c r="P6" s="349" t="n"/>
      <c r="Q6" s="349" t="n"/>
      <c r="R6" s="349" t="n"/>
      <c r="S6" s="349" t="n"/>
    </row>
    <row r="7">
      <c r="A7" s="364" t="n"/>
      <c r="B7" s="349" t="n"/>
      <c r="C7" s="349" t="n"/>
      <c r="D7" s="364" t="inlineStr">
        <is>
          <t>E - Parcialmente Definido</t>
        </is>
      </c>
      <c r="E7" s="297" t="n">
        <v>5059</v>
      </c>
      <c r="F7" s="297" t="n">
        <v>4624</v>
      </c>
      <c r="G7" s="349" t="n"/>
      <c r="H7" s="364" t="n"/>
      <c r="I7" s="349" t="n"/>
      <c r="J7" s="349" t="n"/>
      <c r="K7" s="349" t="n"/>
      <c r="L7" s="349" t="n"/>
      <c r="M7" s="349" t="n"/>
      <c r="N7" s="349" t="n"/>
      <c r="O7" s="349" t="n"/>
      <c r="P7" s="349" t="n"/>
      <c r="Q7" s="349" t="n"/>
      <c r="R7" s="349" t="n"/>
      <c r="S7" s="349" t="n"/>
    </row>
    <row r="8">
      <c r="A8" s="364" t="n"/>
      <c r="B8" s="349" t="n"/>
      <c r="C8" s="349" t="n"/>
      <c r="D8" s="364" t="inlineStr">
        <is>
          <t>F - Gerenciado</t>
        </is>
      </c>
      <c r="E8" s="297" t="n">
        <v>4245</v>
      </c>
      <c r="F8" s="297" t="n">
        <v>3880</v>
      </c>
      <c r="G8" s="349" t="n"/>
      <c r="H8" s="364" t="n"/>
      <c r="I8" s="349" t="n"/>
      <c r="J8" s="349" t="n"/>
      <c r="K8" s="349" t="n"/>
      <c r="L8" s="349" t="n"/>
      <c r="M8" s="349" t="n"/>
      <c r="N8" s="349" t="n"/>
      <c r="O8" s="349" t="n"/>
      <c r="P8" s="349" t="n"/>
      <c r="Q8" s="349" t="n"/>
      <c r="R8" s="349" t="n"/>
      <c r="S8" s="349" t="n"/>
    </row>
    <row r="9">
      <c r="A9" s="364" t="n"/>
      <c r="B9" s="349" t="n"/>
      <c r="C9" s="349" t="n"/>
      <c r="D9" s="364" t="inlineStr">
        <is>
          <t>G - Parcialmente Gerenciado</t>
        </is>
      </c>
      <c r="E9" s="297" t="n">
        <v>3372</v>
      </c>
      <c r="F9" s="297" t="n">
        <v>3082</v>
      </c>
      <c r="G9" s="349" t="n"/>
      <c r="H9" s="364" t="n"/>
      <c r="I9" s="349" t="n"/>
      <c r="J9" s="349" t="n"/>
      <c r="K9" s="349" t="n"/>
      <c r="L9" s="349" t="n"/>
      <c r="M9" s="349" t="n"/>
      <c r="N9" s="349" t="n"/>
      <c r="O9" s="349" t="n"/>
      <c r="P9" s="349" t="n"/>
      <c r="Q9" s="349" t="n"/>
      <c r="R9" s="349" t="n"/>
      <c r="S9" s="349" t="n"/>
    </row>
    <row r="10">
      <c r="A10" s="349" t="n"/>
      <c r="B10" s="101" t="n"/>
      <c r="C10" s="101" t="n"/>
      <c r="D10" s="101" t="n"/>
      <c r="E10" s="101" t="n"/>
      <c r="F10" s="101" t="n"/>
      <c r="G10" s="101" t="n"/>
      <c r="H10" s="101" t="n"/>
      <c r="I10" s="101" t="n"/>
      <c r="J10" s="101" t="n"/>
      <c r="K10" s="101" t="n"/>
      <c r="L10" s="101" t="n"/>
      <c r="M10" s="101" t="n"/>
      <c r="N10" s="101" t="n"/>
      <c r="O10" s="101" t="n"/>
      <c r="P10" s="349" t="n"/>
      <c r="Q10" s="349" t="n"/>
      <c r="R10" s="349" t="n"/>
      <c r="S10" s="349" t="n"/>
    </row>
    <row r="11">
      <c r="A11" s="342" t="inlineStr">
        <is>
          <t>Versões do Guia de Avaliação</t>
        </is>
      </c>
      <c r="B11" s="349" t="n"/>
      <c r="C11" s="349" t="n"/>
      <c r="D11" s="299" t="inlineStr">
        <is>
          <t>Parâmetros das abas que mudam em relação a SW, SV e RH</t>
        </is>
      </c>
      <c r="E11" s="390" t="n"/>
      <c r="F11" s="390" t="n"/>
      <c r="G11" s="390" t="n"/>
      <c r="H11" s="390" t="n"/>
      <c r="I11" s="390" t="n"/>
      <c r="J11" s="390" t="n"/>
      <c r="K11" s="386" t="n"/>
      <c r="L11" s="299" t="n"/>
      <c r="M11" s="299" t="n"/>
      <c r="N11" s="299" t="n"/>
      <c r="O11" s="299" t="n"/>
      <c r="P11" s="299" t="n"/>
      <c r="Q11" s="349" t="n"/>
      <c r="R11" s="349" t="n"/>
      <c r="S11" s="349" t="n"/>
    </row>
    <row r="12">
      <c r="A12" s="325" t="inlineStr">
        <is>
          <t>MA-MPS (Guia de Avaliação:2024)</t>
        </is>
      </c>
      <c r="B12" s="300" t="n"/>
      <c r="C12" s="300" t="n"/>
      <c r="D12" s="290" t="inlineStr">
        <is>
          <t>Modelo</t>
        </is>
      </c>
      <c r="E12" s="290" t="inlineStr">
        <is>
          <t>Processos sendo avaliados</t>
        </is>
      </c>
      <c r="F12" s="290" t="inlineStr">
        <is>
          <t>Instâncias sendo avaliadas</t>
        </is>
      </c>
      <c r="G12" s="290" t="inlineStr">
        <is>
          <t>Referência Instâncias</t>
        </is>
      </c>
      <c r="H12" s="290" t="inlineStr">
        <is>
          <t>Gestor Instâncias</t>
        </is>
      </c>
      <c r="I12" s="290" t="inlineStr">
        <is>
          <t>Status Instâncias</t>
        </is>
      </c>
      <c r="J12" s="290" t="inlineStr">
        <is>
          <t>Instância aba Equipe</t>
        </is>
      </c>
      <c r="K12" s="290" t="inlineStr">
        <is>
          <t>Papel aba Equipe</t>
        </is>
      </c>
      <c r="L12" s="301" t="inlineStr">
        <is>
          <t>Col. Seleção</t>
        </is>
      </c>
      <c r="M12" s="301" t="inlineStr">
        <is>
          <t>Col. Instância</t>
        </is>
      </c>
      <c r="N12" s="301" t="inlineStr">
        <is>
          <t>Col. Gerente</t>
        </is>
      </c>
      <c r="O12" s="301" t="inlineStr">
        <is>
          <t>Col. Núm. Partic.</t>
        </is>
      </c>
      <c r="P12" s="301" t="inlineStr">
        <is>
          <t>Col. Situação</t>
        </is>
      </c>
      <c r="Q12" s="349" t="n"/>
      <c r="R12" s="349" t="n"/>
      <c r="S12" s="349" t="n"/>
    </row>
    <row r="13">
      <c r="A13" s="325" t="n"/>
      <c r="B13" s="323" t="n"/>
      <c r="C13" s="323" t="n"/>
      <c r="D13" s="325" t="inlineStr">
        <is>
          <t>SW</t>
        </is>
      </c>
      <c r="E13" s="364" t="inlineStr">
        <is>
          <t>Software</t>
        </is>
      </c>
      <c r="F13" s="364" t="inlineStr">
        <is>
          <t>Projetos</t>
        </is>
      </c>
      <c r="G13" s="364" t="inlineStr">
        <is>
          <t>Sprint ou Fase</t>
        </is>
      </c>
      <c r="H13" s="364" t="inlineStr">
        <is>
          <t>Gerente do Projeto</t>
        </is>
      </c>
      <c r="I13" s="364" t="inlineStr">
        <is>
          <t>Status</t>
        </is>
      </c>
      <c r="J13" s="364" t="inlineStr">
        <is>
          <t>Projeto</t>
        </is>
      </c>
      <c r="K13" s="364" t="inlineStr">
        <is>
          <t>Papel no projeto</t>
        </is>
      </c>
      <c r="L13" s="364" t="inlineStr">
        <is>
          <t>M</t>
        </is>
      </c>
      <c r="M13" s="364" t="inlineStr">
        <is>
          <t>A</t>
        </is>
      </c>
      <c r="N13" s="364" t="inlineStr">
        <is>
          <t>H</t>
        </is>
      </c>
      <c r="O13" s="364" t="inlineStr">
        <is>
          <t>G</t>
        </is>
      </c>
      <c r="P13" s="364" t="inlineStr">
        <is>
          <t>K</t>
        </is>
      </c>
      <c r="Q13" s="349" t="n"/>
      <c r="R13" s="349" t="n"/>
      <c r="S13" s="349" t="n"/>
    </row>
    <row r="14">
      <c r="A14" s="364" t="n"/>
      <c r="B14" s="323" t="n"/>
      <c r="C14" s="323" t="n"/>
      <c r="D14" s="325" t="inlineStr">
        <is>
          <t>SV</t>
        </is>
      </c>
      <c r="E14" s="364" t="inlineStr">
        <is>
          <t>Serviços</t>
        </is>
      </c>
      <c r="F14" s="364" t="inlineStr">
        <is>
          <t>Serviços</t>
        </is>
      </c>
      <c r="G14" s="364" t="inlineStr">
        <is>
          <t>Referência da Operação/Instância</t>
        </is>
      </c>
      <c r="H14" s="364" t="inlineStr">
        <is>
          <t>Gerente da Operação/Instância</t>
        </is>
      </c>
      <c r="I14" s="364" t="inlineStr">
        <is>
          <t>Status</t>
        </is>
      </c>
      <c r="J14" s="364" t="inlineStr">
        <is>
          <t>Operação/Instância</t>
        </is>
      </c>
      <c r="K14" s="364" t="inlineStr">
        <is>
          <t>Papel na operação/instância</t>
        </is>
      </c>
      <c r="L14" s="364" t="inlineStr">
        <is>
          <t>K</t>
        </is>
      </c>
      <c r="M14" s="364" t="inlineStr">
        <is>
          <t>A</t>
        </is>
      </c>
      <c r="N14" s="364" t="inlineStr">
        <is>
          <t>D</t>
        </is>
      </c>
      <c r="O14" s="364" t="inlineStr">
        <is>
          <t>F</t>
        </is>
      </c>
      <c r="P14" s="364" t="inlineStr">
        <is>
          <t>I</t>
        </is>
      </c>
      <c r="Q14" s="349" t="n"/>
      <c r="R14" s="349" t="n"/>
      <c r="S14" s="349" t="n"/>
    </row>
    <row r="15">
      <c r="A15" s="364" t="n"/>
      <c r="B15" s="323" t="n"/>
      <c r="C15" s="323" t="n"/>
      <c r="D15" s="325" t="inlineStr">
        <is>
          <t>RH</t>
        </is>
      </c>
      <c r="E15" s="364" t="inlineStr">
        <is>
          <t>Recursos Humanos</t>
        </is>
      </c>
      <c r="F15" s="364" t="inlineStr">
        <is>
          <t>Áreas</t>
        </is>
      </c>
      <c r="G15" s="364" t="inlineStr">
        <is>
          <t>-</t>
        </is>
      </c>
      <c r="H15" s="364" t="inlineStr">
        <is>
          <t>Gerente da Área</t>
        </is>
      </c>
      <c r="I15" s="364" t="inlineStr">
        <is>
          <t>-</t>
        </is>
      </c>
      <c r="J15" s="364" t="inlineStr">
        <is>
          <t>Área</t>
        </is>
      </c>
      <c r="K15" s="364" t="inlineStr">
        <is>
          <t>Papel na área</t>
        </is>
      </c>
      <c r="L15" s="364" t="inlineStr">
        <is>
          <t>F</t>
        </is>
      </c>
      <c r="M15" s="364" t="inlineStr">
        <is>
          <t>A</t>
        </is>
      </c>
      <c r="N15" s="364" t="inlineStr">
        <is>
          <t>E</t>
        </is>
      </c>
      <c r="O15" s="364" t="inlineStr">
        <is>
          <t>D</t>
        </is>
      </c>
      <c r="P15" s="364" t="n"/>
      <c r="Q15" s="349" t="n"/>
      <c r="R15" s="349" t="n"/>
      <c r="S15" s="349" t="n"/>
    </row>
    <row r="16">
      <c r="A16" s="364" t="n"/>
      <c r="B16" s="323" t="n"/>
      <c r="C16" s="323" t="n"/>
      <c r="D16" s="323" t="n"/>
      <c r="E16" s="303" t="n"/>
      <c r="F16" s="323" t="n"/>
      <c r="G16" s="349" t="n"/>
      <c r="H16" s="349" t="n"/>
      <c r="I16" s="349" t="n"/>
      <c r="J16" s="349" t="n"/>
      <c r="K16" s="349" t="n"/>
      <c r="L16" s="349" t="n"/>
      <c r="M16" s="349" t="n"/>
      <c r="N16" s="349" t="n"/>
      <c r="O16" s="349" t="n"/>
      <c r="P16" s="349" t="n"/>
      <c r="Q16" s="349" t="n"/>
      <c r="R16" s="349" t="n"/>
      <c r="S16" s="349" t="n"/>
    </row>
    <row r="17">
      <c r="A17" s="101" t="n"/>
      <c r="B17" s="323" t="n"/>
      <c r="C17" s="323" t="n"/>
      <c r="D17" s="413" t="inlineStr">
        <is>
          <t>Parâmetros aba Projetos</t>
        </is>
      </c>
      <c r="E17" s="390" t="n"/>
      <c r="F17" s="386" t="n"/>
      <c r="G17" s="414" t="inlineStr">
        <is>
          <t>Parâmetros aba Serviços</t>
        </is>
      </c>
      <c r="H17" s="386" t="n"/>
      <c r="I17" s="414" t="inlineStr">
        <is>
          <t>Parâmetros abas Projetos / Serviços</t>
        </is>
      </c>
      <c r="J17" s="386" t="n"/>
      <c r="K17" s="349" t="n"/>
      <c r="L17" s="349" t="n"/>
      <c r="M17" s="349" t="n"/>
      <c r="N17" s="349" t="n"/>
      <c r="O17" s="349" t="n"/>
      <c r="P17" s="349" t="n"/>
      <c r="Q17" s="349" t="n"/>
      <c r="R17" s="349" t="n"/>
      <c r="S17" s="349" t="n"/>
    </row>
    <row r="18">
      <c r="A18" s="306" t="inlineStr">
        <is>
          <t>Formato avaliação</t>
        </is>
      </c>
      <c r="B18" s="323" t="n"/>
      <c r="C18" s="323" t="n"/>
      <c r="D18" s="307" t="inlineStr">
        <is>
          <t>Tipo de projeto</t>
        </is>
      </c>
      <c r="E18" s="308" t="inlineStr">
        <is>
          <t>Cliente</t>
        </is>
      </c>
      <c r="F18" s="309" t="inlineStr">
        <is>
          <t>Fase em que se encontra</t>
        </is>
      </c>
      <c r="G18" s="311" t="inlineStr">
        <is>
          <t>Cliente da Operação / Instância</t>
        </is>
      </c>
      <c r="H18" s="311" t="inlineStr">
        <is>
          <t>Fase em que se encontra</t>
        </is>
      </c>
      <c r="I18" s="307" t="inlineStr">
        <is>
          <t>Importância para a organização</t>
        </is>
      </c>
      <c r="J18" s="309" t="inlineStr">
        <is>
          <t>Seleção para avaliação</t>
        </is>
      </c>
      <c r="K18" s="349" t="n"/>
      <c r="L18" s="349" t="n"/>
      <c r="M18" s="349" t="n"/>
      <c r="N18" s="349" t="n"/>
      <c r="O18" s="349" t="n"/>
      <c r="P18" s="349" t="n"/>
      <c r="Q18" s="349" t="n"/>
      <c r="R18" s="349" t="n"/>
      <c r="S18" s="349" t="n"/>
    </row>
    <row r="19">
      <c r="A19" s="364" t="inlineStr">
        <is>
          <t>Remoto</t>
        </is>
      </c>
      <c r="B19" s="323" t="n"/>
      <c r="C19" s="323" t="n"/>
      <c r="D19" s="318" t="inlineStr">
        <is>
          <t>Evolução Produto</t>
        </is>
      </c>
      <c r="E19" s="319" t="inlineStr">
        <is>
          <t>Interno</t>
        </is>
      </c>
      <c r="F19" s="364" t="inlineStr">
        <is>
          <t>Contratação</t>
        </is>
      </c>
      <c r="G19" s="316" t="inlineStr">
        <is>
          <t>Interno</t>
        </is>
      </c>
      <c r="H19" s="316" t="inlineStr">
        <is>
          <t>Contratação</t>
        </is>
      </c>
      <c r="I19" s="318" t="inlineStr">
        <is>
          <t>Baixa</t>
        </is>
      </c>
      <c r="J19" s="364" t="inlineStr">
        <is>
          <t>Sim</t>
        </is>
      </c>
      <c r="K19" s="349" t="n"/>
      <c r="L19" s="349" t="n"/>
      <c r="M19" s="349" t="n"/>
      <c r="N19" s="349" t="n"/>
      <c r="O19" s="349" t="n"/>
      <c r="P19" s="349" t="n"/>
      <c r="Q19" s="349" t="n"/>
      <c r="R19" s="349" t="n"/>
      <c r="S19" s="349" t="n"/>
    </row>
    <row r="20">
      <c r="A20" s="364" t="inlineStr">
        <is>
          <t>Presencial</t>
        </is>
      </c>
      <c r="B20" s="323" t="n"/>
      <c r="C20" s="323" t="n"/>
      <c r="D20" s="318" t="inlineStr">
        <is>
          <t>Manutenção</t>
        </is>
      </c>
      <c r="E20" s="319" t="inlineStr">
        <is>
          <t>Externo</t>
        </is>
      </c>
      <c r="F20" s="364" t="inlineStr">
        <is>
          <t>Planejamento</t>
        </is>
      </c>
      <c r="G20" s="316" t="inlineStr">
        <is>
          <t>Externo</t>
        </is>
      </c>
      <c r="H20" s="316" t="inlineStr">
        <is>
          <t>Planejamento</t>
        </is>
      </c>
      <c r="I20" s="318" t="inlineStr">
        <is>
          <t>Média</t>
        </is>
      </c>
      <c r="J20" s="364" t="inlineStr">
        <is>
          <t>Não</t>
        </is>
      </c>
      <c r="K20" s="349" t="n"/>
      <c r="L20" s="349" t="n"/>
      <c r="M20" s="349" t="n"/>
      <c r="N20" s="349" t="n"/>
      <c r="O20" s="349" t="n"/>
      <c r="P20" s="349" t="n"/>
      <c r="Q20" s="349" t="n"/>
      <c r="R20" s="349" t="n"/>
      <c r="S20" s="349" t="n"/>
    </row>
    <row r="21">
      <c r="A21" s="101" t="n"/>
      <c r="B21" s="323" t="n"/>
      <c r="C21" s="323" t="n"/>
      <c r="D21" s="318" t="inlineStr">
        <is>
          <t>Desenvolvimento</t>
        </is>
      </c>
      <c r="E21" s="319" t="n"/>
      <c r="F21" s="316" t="inlineStr">
        <is>
          <t>Pesquisa e MVP</t>
        </is>
      </c>
      <c r="G21" s="316" t="n"/>
      <c r="H21" s="364" t="inlineStr">
        <is>
          <t>Execução</t>
        </is>
      </c>
      <c r="I21" s="318" t="inlineStr">
        <is>
          <t>Alta</t>
        </is>
      </c>
      <c r="J21" s="316" t="n"/>
      <c r="K21" s="349" t="n"/>
      <c r="L21" s="349" t="n"/>
      <c r="M21" s="349" t="n"/>
      <c r="N21" s="349" t="n"/>
      <c r="O21" s="349" t="n"/>
      <c r="P21" s="349" t="n"/>
      <c r="Q21" s="349" t="n"/>
      <c r="R21" s="349" t="n"/>
      <c r="S21" s="349" t="n"/>
    </row>
    <row r="22">
      <c r="A22" s="306" t="inlineStr">
        <is>
          <t>Tipo Curso Introdução</t>
        </is>
      </c>
      <c r="B22" s="323" t="n"/>
      <c r="C22" s="323" t="n"/>
      <c r="D22" s="318" t="n"/>
      <c r="E22" s="319" t="n"/>
      <c r="F22" s="364" t="inlineStr">
        <is>
          <t>Análise/projeto</t>
        </is>
      </c>
      <c r="G22" s="316" t="n"/>
      <c r="H22" s="364" t="inlineStr">
        <is>
          <t>Execução Contínua</t>
        </is>
      </c>
      <c r="I22" s="364" t="n"/>
      <c r="J22" s="364" t="n"/>
      <c r="K22" s="349" t="n"/>
      <c r="L22" s="349" t="n"/>
      <c r="M22" s="349" t="n"/>
      <c r="N22" s="349" t="n"/>
      <c r="O22" s="349" t="n"/>
      <c r="P22" s="349" t="n"/>
      <c r="Q22" s="349" t="n"/>
      <c r="R22" s="349" t="n"/>
      <c r="S22" s="349" t="n"/>
    </row>
    <row r="23">
      <c r="A23" s="364" t="inlineStr">
        <is>
          <t>SW</t>
        </is>
      </c>
      <c r="B23" s="323" t="n"/>
      <c r="C23" s="323" t="n"/>
      <c r="D23" s="318" t="n"/>
      <c r="E23" s="319" t="n"/>
      <c r="F23" s="364" t="inlineStr">
        <is>
          <t>Construção</t>
        </is>
      </c>
      <c r="G23" s="316" t="n"/>
      <c r="H23" s="364" t="inlineStr">
        <is>
          <t>Parado</t>
        </is>
      </c>
      <c r="I23" s="364" t="n"/>
      <c r="J23" s="364" t="n"/>
      <c r="K23" s="349" t="n"/>
      <c r="L23" s="349" t="n"/>
      <c r="M23" s="349" t="n"/>
      <c r="N23" s="349" t="n"/>
      <c r="O23" s="349" t="n"/>
      <c r="P23" s="349" t="n"/>
      <c r="Q23" s="349" t="n"/>
      <c r="R23" s="349" t="n"/>
      <c r="S23" s="349" t="n"/>
    </row>
    <row r="24">
      <c r="A24" s="364" t="inlineStr">
        <is>
          <t>SV</t>
        </is>
      </c>
      <c r="B24" s="323" t="n"/>
      <c r="C24" s="323" t="n"/>
      <c r="D24" s="318" t="n"/>
      <c r="E24" s="319" t="n"/>
      <c r="F24" s="364" t="inlineStr">
        <is>
          <t>Teste</t>
        </is>
      </c>
      <c r="G24" s="316" t="n"/>
      <c r="H24" s="364" t="inlineStr">
        <is>
          <t>Concluído</t>
        </is>
      </c>
      <c r="I24" s="364" t="n"/>
      <c r="J24" s="364" t="n"/>
      <c r="K24" s="349" t="n"/>
      <c r="L24" s="349" t="n"/>
      <c r="M24" s="349" t="n"/>
      <c r="N24" s="349" t="n"/>
      <c r="O24" s="349" t="n"/>
      <c r="P24" s="349" t="n"/>
      <c r="Q24" s="349" t="n"/>
      <c r="R24" s="349" t="n"/>
      <c r="S24" s="349" t="n"/>
    </row>
    <row r="25">
      <c r="A25" s="364" t="inlineStr">
        <is>
          <t>RH</t>
        </is>
      </c>
      <c r="B25" s="349" t="n"/>
      <c r="C25" s="349" t="n"/>
      <c r="D25" s="364" t="n"/>
      <c r="E25" s="320" t="n"/>
      <c r="F25" s="364" t="inlineStr">
        <is>
          <t>Parado</t>
        </is>
      </c>
      <c r="G25" s="316" t="n"/>
      <c r="H25" s="364" t="n"/>
      <c r="I25" s="364" t="n"/>
      <c r="J25" s="364" t="n"/>
      <c r="K25" s="349" t="n"/>
      <c r="L25" s="349" t="n"/>
      <c r="M25" s="349" t="n"/>
      <c r="N25" s="349" t="n"/>
      <c r="O25" s="349" t="n"/>
      <c r="P25" s="349" t="n"/>
      <c r="Q25" s="349" t="n"/>
      <c r="R25" s="349" t="n"/>
      <c r="S25" s="349" t="n"/>
    </row>
    <row r="26">
      <c r="A26" s="349" t="n"/>
      <c r="B26" s="349" t="n"/>
      <c r="C26" s="349" t="n"/>
      <c r="D26" s="364" t="n"/>
      <c r="E26" s="316" t="n"/>
      <c r="F26" s="364" t="inlineStr">
        <is>
          <t>Concluído</t>
        </is>
      </c>
      <c r="G26" s="364" t="n"/>
      <c r="H26" s="364" t="n"/>
      <c r="I26" s="364" t="n"/>
      <c r="J26" s="364" t="n"/>
      <c r="K26" s="349" t="n"/>
      <c r="L26" s="349" t="n"/>
      <c r="M26" s="349" t="n"/>
      <c r="N26" s="349" t="n"/>
      <c r="O26" s="349" t="n"/>
      <c r="P26" s="349" t="n"/>
      <c r="Q26" s="349" t="n"/>
      <c r="R26" s="349" t="n"/>
      <c r="S26" s="349" t="n"/>
    </row>
    <row r="27">
      <c r="A27" s="306" t="inlineStr">
        <is>
          <t>Faixa de Receita Operacional</t>
        </is>
      </c>
      <c r="B27" s="349" t="n"/>
      <c r="C27" s="349" t="n"/>
      <c r="D27" s="364" t="n"/>
      <c r="E27" s="316" t="n"/>
      <c r="F27" s="364" t="n"/>
      <c r="G27" s="364" t="n"/>
      <c r="H27" s="364" t="n"/>
      <c r="I27" s="364" t="n"/>
      <c r="J27" s="364" t="n"/>
      <c r="K27" s="349" t="n"/>
      <c r="L27" s="349" t="n"/>
      <c r="M27" s="349" t="n"/>
      <c r="N27" s="349" t="n"/>
      <c r="O27" s="349" t="n"/>
      <c r="P27" s="349" t="n"/>
      <c r="Q27" s="349" t="n"/>
      <c r="R27" s="349" t="n"/>
      <c r="S27" s="349" t="n"/>
    </row>
    <row r="28">
      <c r="A28" s="272" t="inlineStr">
        <is>
          <t>Microempresa (Menor ou igual a R$ 2,4 milhões)</t>
        </is>
      </c>
      <c r="B28" s="349" t="n"/>
      <c r="C28" s="349" t="n"/>
    </row>
    <row r="29">
      <c r="A29" s="272" t="inlineStr">
        <is>
          <t>Pequena empresa (Maior que R$ 2,4 milhões e menor ou igual a R$ 16 milhões)</t>
        </is>
      </c>
      <c r="B29" s="321" t="n"/>
      <c r="C29" s="321" t="n"/>
      <c r="D29" s="306" t="inlineStr">
        <is>
          <t>Seleção Entrevista</t>
        </is>
      </c>
      <c r="F29" s="415" t="inlineStr">
        <is>
          <t>Parâmetros aba Auditoria</t>
        </is>
      </c>
      <c r="G29" s="390" t="n"/>
      <c r="H29" s="386" t="n"/>
    </row>
    <row r="30">
      <c r="A30" s="272" t="inlineStr">
        <is>
          <t>Média empresa (Maior que R$ 16 milhões e menor ou igual a R$ 90 milhões)</t>
        </is>
      </c>
      <c r="B30" s="321" t="n"/>
      <c r="C30" s="321" t="n"/>
      <c r="D30" s="272" t="inlineStr">
        <is>
          <t>Sim</t>
        </is>
      </c>
      <c r="F30" s="311" t="inlineStr">
        <is>
          <t>Resultado Auditoria</t>
        </is>
      </c>
      <c r="G30" s="311" t="inlineStr">
        <is>
          <t>Parecer Final Auditoria</t>
        </is>
      </c>
      <c r="H30" s="311" t="inlineStr">
        <is>
          <t>Resultado de Item de Auditoria</t>
        </is>
      </c>
    </row>
    <row r="31">
      <c r="A31" s="272" t="inlineStr">
        <is>
          <t>Média-grande empresa (Maior que R$ 90 milhões e menor ou igual a R$ 300 milhões)</t>
        </is>
      </c>
      <c r="B31" s="101" t="n"/>
      <c r="C31" s="101" t="n"/>
      <c r="D31" s="272" t="inlineStr">
        <is>
          <t>Não</t>
        </is>
      </c>
      <c r="F31" s="316" t="inlineStr">
        <is>
          <t>Não há dúvidas</t>
        </is>
      </c>
      <c r="G31" s="316" t="inlineStr">
        <is>
          <t>Aprovado</t>
        </is>
      </c>
      <c r="H31" s="316" t="inlineStr">
        <is>
          <t>Sim</t>
        </is>
      </c>
    </row>
    <row r="32">
      <c r="A32" s="272" t="inlineStr">
        <is>
          <t>Grande empresa (Maior que R$ 300 milhões)</t>
        </is>
      </c>
      <c r="B32" s="101" t="n"/>
      <c r="C32" s="101" t="n"/>
      <c r="D32" s="323" t="n"/>
      <c r="E32" s="323" t="n"/>
      <c r="F32" s="316" t="inlineStr">
        <is>
          <t>Há dúvidas</t>
        </is>
      </c>
      <c r="G32" s="316" t="inlineStr">
        <is>
          <t>Não aprovado</t>
        </is>
      </c>
      <c r="H32" s="316" t="inlineStr">
        <is>
          <t>Não</t>
        </is>
      </c>
    </row>
    <row r="33">
      <c r="A33" s="101" t="n"/>
      <c r="B33" s="268" t="n"/>
      <c r="C33" s="268" t="n"/>
      <c r="D33" s="268" t="n"/>
      <c r="E33" s="349" t="n"/>
      <c r="F33" s="325" t="n"/>
      <c r="G33" s="325" t="n"/>
      <c r="H33" s="325" t="inlineStr">
        <is>
          <t>Não se aplica</t>
        </is>
      </c>
      <c r="I33" s="101" t="n"/>
      <c r="J33" s="101" t="n"/>
      <c r="K33" s="101" t="n"/>
      <c r="L33" s="101" t="n"/>
      <c r="M33" s="101" t="n"/>
      <c r="N33" s="101" t="n"/>
      <c r="O33" s="101" t="n"/>
      <c r="P33" s="101" t="n"/>
      <c r="Q33" s="101" t="n"/>
      <c r="R33" s="101" t="n"/>
      <c r="S33" s="101" t="n"/>
    </row>
    <row r="34">
      <c r="A34" s="306" t="inlineStr">
        <is>
          <t>Porte Empresa</t>
        </is>
      </c>
      <c r="B34" s="349" t="n"/>
      <c r="C34" s="349" t="n"/>
      <c r="D34" s="349" t="n"/>
      <c r="E34" s="349" t="n"/>
      <c r="F34" s="101" t="n"/>
      <c r="G34" s="101" t="n"/>
      <c r="H34" s="101" t="n"/>
      <c r="I34" s="101" t="n"/>
      <c r="J34" s="101" t="n"/>
      <c r="K34" s="101" t="n"/>
      <c r="L34" s="101" t="n"/>
      <c r="M34" s="101" t="n"/>
      <c r="N34" s="101" t="n"/>
      <c r="O34" s="101" t="n"/>
      <c r="P34" s="101" t="n"/>
      <c r="Q34" s="101" t="n"/>
      <c r="R34" s="101" t="n"/>
      <c r="S34" s="101" t="n"/>
    </row>
    <row r="35">
      <c r="A35" s="272" t="inlineStr">
        <is>
          <t>Microempresa (Até 9)</t>
        </is>
      </c>
      <c r="B35" s="349" t="n"/>
      <c r="C35" s="349" t="n"/>
      <c r="D35" s="349" t="n"/>
      <c r="E35" s="349" t="n"/>
      <c r="F35" s="101" t="n"/>
      <c r="G35" s="101" t="n"/>
      <c r="H35" s="101" t="n"/>
      <c r="I35" s="101" t="n"/>
      <c r="J35" s="101" t="n"/>
      <c r="K35" s="101" t="n"/>
      <c r="L35" s="101" t="n"/>
      <c r="M35" s="101" t="n"/>
      <c r="N35" s="101" t="n"/>
      <c r="O35" s="101" t="n"/>
      <c r="P35" s="101" t="n"/>
      <c r="Q35" s="101" t="n"/>
      <c r="R35" s="101" t="n"/>
      <c r="S35" s="101" t="n"/>
    </row>
    <row r="36">
      <c r="A36" s="272" t="inlineStr">
        <is>
          <t>Pequena empresa (de 10 a 49)</t>
        </is>
      </c>
      <c r="B36" s="349" t="n"/>
      <c r="C36" s="349" t="n"/>
      <c r="D36" s="349" t="n"/>
      <c r="E36" s="349" t="n"/>
      <c r="F36" s="101" t="n"/>
      <c r="G36" s="101" t="n"/>
      <c r="H36" s="101" t="n"/>
      <c r="I36" s="101" t="n"/>
      <c r="J36" s="101" t="n"/>
      <c r="K36" s="101" t="n"/>
      <c r="L36" s="101" t="n"/>
      <c r="M36" s="101" t="n"/>
      <c r="N36" s="101" t="n"/>
      <c r="O36" s="101" t="n"/>
      <c r="P36" s="101" t="n"/>
      <c r="Q36" s="101" t="n"/>
      <c r="R36" s="101" t="n"/>
      <c r="S36" s="101" t="n"/>
    </row>
    <row r="37">
      <c r="A37" s="272" t="inlineStr">
        <is>
          <t>Média empresa (de 50 a 99)</t>
        </is>
      </c>
      <c r="B37" s="349" t="n"/>
      <c r="C37" s="349" t="n"/>
      <c r="D37" s="306" t="inlineStr">
        <is>
          <t>Resultado da Avaliação Inicial</t>
        </is>
      </c>
      <c r="E37" s="349" t="n"/>
      <c r="F37" s="349" t="n"/>
      <c r="G37" s="349" t="n"/>
      <c r="H37" s="349" t="n"/>
      <c r="I37" s="349" t="n"/>
      <c r="J37" s="349" t="n"/>
      <c r="K37" s="349" t="n"/>
      <c r="L37" s="349" t="n"/>
      <c r="M37" s="349" t="n"/>
      <c r="N37" s="349" t="n"/>
      <c r="O37" s="349" t="n"/>
      <c r="P37" s="349" t="n"/>
      <c r="Q37" s="349" t="n"/>
      <c r="R37" s="349" t="n"/>
      <c r="S37" s="349" t="n"/>
    </row>
    <row r="38">
      <c r="A38" s="272" t="inlineStr">
        <is>
          <t>Grande empresa (Mais que 100)</t>
        </is>
      </c>
      <c r="B38" s="349" t="n"/>
      <c r="C38" s="349" t="n"/>
      <c r="D38" s="364" t="inlineStr">
        <is>
          <t>Nível para a avaliação final</t>
        </is>
      </c>
      <c r="E38" s="349" t="n"/>
      <c r="F38" s="349" t="n"/>
      <c r="G38" s="349" t="n"/>
      <c r="H38" s="349" t="n"/>
      <c r="I38" s="349" t="n"/>
      <c r="J38" s="349" t="n"/>
      <c r="K38" s="349" t="n"/>
      <c r="L38" s="349" t="n"/>
      <c r="M38" s="349" t="n"/>
      <c r="N38" s="349" t="n"/>
      <c r="O38" s="349" t="n"/>
      <c r="P38" s="349" t="n"/>
      <c r="Q38" s="349" t="n"/>
      <c r="R38" s="349" t="n"/>
      <c r="S38" s="349" t="n"/>
    </row>
    <row r="39">
      <c r="A39" s="101" t="n"/>
      <c r="B39" s="349" t="n"/>
      <c r="C39" s="349" t="n"/>
      <c r="D39" s="364" t="inlineStr">
        <is>
          <t>Marcar a avaliação final para</t>
        </is>
      </c>
      <c r="E39" s="349" t="n"/>
      <c r="F39" s="349" t="n"/>
      <c r="G39" s="349" t="n"/>
      <c r="H39" s="349" t="n"/>
      <c r="I39" s="349" t="n"/>
      <c r="J39" s="349" t="n"/>
      <c r="K39" s="349" t="n"/>
      <c r="L39" s="349" t="n"/>
      <c r="M39" s="349" t="n"/>
      <c r="N39" s="349" t="n"/>
      <c r="O39" s="349" t="n"/>
      <c r="P39" s="349" t="n"/>
      <c r="Q39" s="349" t="n"/>
      <c r="R39" s="349" t="n"/>
      <c r="S39" s="349" t="n"/>
    </row>
    <row r="40">
      <c r="A40" s="306" t="inlineStr">
        <is>
          <t>Associação Agente SOFTEX</t>
        </is>
      </c>
      <c r="B40" s="349" t="n"/>
      <c r="C40" s="349" t="n"/>
      <c r="D40" s="364" t="inlineStr">
        <is>
          <t>Dispensa do adjunto na avaliação final</t>
        </is>
      </c>
      <c r="E40" s="349" t="n"/>
      <c r="F40" s="349" t="n"/>
      <c r="G40" s="349" t="n"/>
      <c r="H40" s="349" t="n"/>
      <c r="I40" s="349" t="n"/>
      <c r="J40" s="349" t="n"/>
      <c r="K40" s="349" t="n"/>
      <c r="L40" s="349" t="n"/>
      <c r="M40" s="349" t="n"/>
      <c r="N40" s="349" t="n"/>
      <c r="O40" s="349" t="n"/>
      <c r="P40" s="349" t="n"/>
      <c r="Q40" s="349" t="n"/>
      <c r="R40" s="349" t="n"/>
      <c r="S40" s="349" t="n"/>
    </row>
    <row r="41">
      <c r="A41" s="364" t="inlineStr">
        <is>
          <t>Sim</t>
        </is>
      </c>
      <c r="B41" s="349" t="n"/>
      <c r="C41" s="349" t="n"/>
      <c r="D41" s="364" t="inlineStr">
        <is>
          <t>Alterar a equipe de avaliação</t>
        </is>
      </c>
      <c r="E41" s="349" t="n"/>
      <c r="F41" s="349" t="n"/>
      <c r="G41" s="349" t="n"/>
      <c r="H41" s="349" t="n"/>
      <c r="I41" s="349" t="n"/>
      <c r="J41" s="349" t="n"/>
      <c r="K41" s="349" t="n"/>
      <c r="L41" s="349" t="n"/>
      <c r="M41" s="349" t="n"/>
      <c r="N41" s="349" t="n"/>
      <c r="O41" s="349" t="n"/>
      <c r="P41" s="349" t="n"/>
      <c r="Q41" s="349" t="n"/>
      <c r="R41" s="349" t="n"/>
      <c r="S41" s="349" t="n"/>
    </row>
    <row r="42">
      <c r="A42" s="364" t="inlineStr">
        <is>
          <t>Não</t>
        </is>
      </c>
      <c r="B42" s="349" t="n"/>
      <c r="C42" s="349" t="n"/>
      <c r="D42" s="364" t="inlineStr">
        <is>
          <t>Alterar o patrocinador</t>
        </is>
      </c>
      <c r="E42" s="349" t="n"/>
      <c r="F42" s="349" t="n"/>
      <c r="G42" s="349" t="n"/>
      <c r="H42" s="349" t="n"/>
      <c r="I42" s="349" t="n"/>
      <c r="J42" s="349" t="n"/>
      <c r="K42" s="349" t="n"/>
      <c r="L42" s="349" t="n"/>
      <c r="M42" s="349" t="n"/>
      <c r="N42" s="349" t="n"/>
      <c r="O42" s="349" t="n"/>
      <c r="P42" s="349" t="n"/>
      <c r="Q42" s="349" t="n"/>
      <c r="R42" s="349" t="n"/>
      <c r="S42" s="349" t="n"/>
    </row>
    <row r="43">
      <c r="A43" s="349" t="n"/>
      <c r="B43" s="349" t="n"/>
      <c r="C43" s="349" t="n"/>
      <c r="D43" s="364" t="inlineStr">
        <is>
          <t>Alterar o coordenador local</t>
        </is>
      </c>
      <c r="E43" s="349" t="n"/>
      <c r="F43" s="349" t="n"/>
      <c r="G43" s="349" t="n"/>
      <c r="H43" s="349" t="n"/>
      <c r="I43" s="349" t="n"/>
      <c r="J43" s="349" t="n"/>
      <c r="K43" s="349" t="n"/>
      <c r="L43" s="349" t="n"/>
      <c r="M43" s="349" t="n"/>
      <c r="N43" s="349" t="n"/>
      <c r="O43" s="349" t="n"/>
      <c r="P43" s="349" t="n"/>
      <c r="Q43" s="349" t="n"/>
      <c r="R43" s="349" t="n"/>
      <c r="S43" s="349" t="n"/>
    </row>
    <row r="44">
      <c r="A44" s="306" t="inlineStr">
        <is>
          <t>Participação Projeto SOFTEX</t>
        </is>
      </c>
      <c r="B44" s="349" t="n"/>
      <c r="C44" s="349" t="n"/>
      <c r="D44" s="364" t="inlineStr">
        <is>
          <t>Encerrar a avaliação na avaliação inicial</t>
        </is>
      </c>
      <c r="E44" s="349" t="n"/>
      <c r="F44" s="349" t="n"/>
      <c r="G44" s="349" t="n"/>
      <c r="H44" s="349" t="n"/>
      <c r="I44" s="349" t="n"/>
      <c r="J44" s="349" t="n"/>
      <c r="K44" s="349" t="n"/>
      <c r="L44" s="349" t="n"/>
      <c r="M44" s="349" t="n"/>
      <c r="N44" s="349" t="n"/>
      <c r="O44" s="349" t="n"/>
      <c r="P44" s="349" t="n"/>
      <c r="Q44" s="349" t="n"/>
      <c r="R44" s="349" t="n"/>
      <c r="S44" s="349" t="n"/>
    </row>
    <row r="45">
      <c r="A45" s="364" t="inlineStr">
        <is>
          <t>Sim</t>
        </is>
      </c>
      <c r="B45" s="349" t="n"/>
      <c r="C45" s="349" t="n"/>
      <c r="D45" s="364" t="inlineStr">
        <is>
          <t>Alterar a unidade organizacional a ser avaliada</t>
        </is>
      </c>
      <c r="E45" s="349" t="n"/>
      <c r="F45" s="349" t="n"/>
      <c r="G45" s="349" t="n"/>
      <c r="H45" s="349" t="n"/>
      <c r="I45" s="349" t="n"/>
      <c r="J45" s="349" t="n"/>
      <c r="K45" s="349" t="n"/>
      <c r="L45" s="349" t="n"/>
      <c r="M45" s="349" t="n"/>
      <c r="N45" s="349" t="n"/>
      <c r="O45" s="349" t="n"/>
      <c r="P45" s="349" t="n"/>
      <c r="Q45" s="349" t="n"/>
      <c r="R45" s="349" t="n"/>
      <c r="S45" s="349" t="n"/>
    </row>
    <row r="46">
      <c r="A46" s="364" t="inlineStr">
        <is>
          <t>Não</t>
        </is>
      </c>
      <c r="B46" s="349" t="n"/>
      <c r="C46" s="349" t="n"/>
      <c r="D46" s="364" t="inlineStr">
        <is>
          <t>Alterar o formato da avaliação para a avaliação final</t>
        </is>
      </c>
      <c r="E46" s="349" t="n"/>
      <c r="F46" s="349" t="n"/>
      <c r="G46" s="349" t="n"/>
      <c r="H46" s="349" t="n"/>
      <c r="I46" s="349" t="n"/>
      <c r="J46" s="349" t="n"/>
      <c r="K46" s="349" t="n"/>
      <c r="L46" s="349" t="n"/>
      <c r="M46" s="349" t="n"/>
      <c r="N46" s="349" t="n"/>
      <c r="O46" s="349" t="n"/>
      <c r="P46" s="349" t="n"/>
      <c r="Q46" s="349" t="n"/>
      <c r="R46" s="349" t="n"/>
      <c r="S46" s="349" t="n"/>
    </row>
    <row r="47">
      <c r="A47" s="101" t="n"/>
      <c r="B47" s="349" t="n"/>
      <c r="C47" s="349" t="n"/>
      <c r="D47" s="364" t="inlineStr">
        <is>
          <t>Outros</t>
        </is>
      </c>
      <c r="E47" s="349" t="n"/>
      <c r="F47" s="349" t="n"/>
      <c r="G47" s="349" t="n"/>
      <c r="H47" s="349" t="n"/>
      <c r="I47" s="349" t="n"/>
      <c r="J47" s="349" t="n"/>
      <c r="K47" s="349" t="n"/>
      <c r="L47" s="349" t="n"/>
      <c r="M47" s="349" t="n"/>
      <c r="N47" s="349" t="n"/>
      <c r="O47" s="349" t="n"/>
      <c r="P47" s="349" t="n"/>
      <c r="Q47" s="349" t="n"/>
      <c r="R47" s="349" t="n"/>
      <c r="S47" s="349" t="n"/>
    </row>
    <row r="48">
      <c r="A48" s="306" t="inlineStr">
        <is>
          <t>UF - Brasil</t>
        </is>
      </c>
      <c r="B48" s="349" t="n"/>
      <c r="C48" s="349" t="n"/>
      <c r="D48" s="349" t="n"/>
      <c r="E48" s="349" t="n"/>
      <c r="F48" s="349" t="n"/>
      <c r="G48" s="349" t="n"/>
      <c r="H48" s="349" t="n"/>
      <c r="I48" s="349" t="n"/>
      <c r="J48" s="349" t="n"/>
      <c r="K48" s="349" t="n"/>
      <c r="L48" s="349" t="n"/>
      <c r="M48" s="349" t="n"/>
      <c r="N48" s="349" t="n"/>
      <c r="O48" s="349" t="n"/>
      <c r="P48" s="349" t="n"/>
      <c r="Q48" s="349" t="n"/>
      <c r="R48" s="349" t="n"/>
      <c r="S48" s="349" t="n"/>
    </row>
    <row r="49">
      <c r="A49" s="325" t="inlineStr">
        <is>
          <t>AC</t>
        </is>
      </c>
      <c r="B49" s="349" t="n"/>
      <c r="C49" s="342" t="inlineStr">
        <is>
          <t>Modelo SW</t>
        </is>
      </c>
      <c r="D49" s="386" t="n"/>
      <c r="E49" s="349" t="n"/>
      <c r="G49" s="101" t="n"/>
      <c r="H49" s="349" t="n"/>
      <c r="I49" s="349" t="n"/>
      <c r="J49" s="349" t="n"/>
      <c r="K49" s="349" t="n"/>
      <c r="L49" s="349" t="n"/>
      <c r="M49" s="349" t="n"/>
      <c r="N49" s="349" t="n"/>
      <c r="O49" s="349" t="n"/>
      <c r="P49" s="349" t="n"/>
      <c r="Q49" s="349" t="n"/>
      <c r="R49" s="349" t="n"/>
      <c r="S49" s="349" t="n"/>
    </row>
    <row r="50">
      <c r="A50" s="325" t="inlineStr">
        <is>
          <t>AL</t>
        </is>
      </c>
      <c r="B50" s="349" t="n"/>
      <c r="C50" s="327" t="inlineStr">
        <is>
          <t>Sigla</t>
        </is>
      </c>
      <c r="D50" s="328" t="inlineStr">
        <is>
          <t>Processos</t>
        </is>
      </c>
      <c r="E50" s="349" t="n"/>
      <c r="G50" s="101" t="n"/>
      <c r="H50" s="349" t="n"/>
      <c r="I50" s="349" t="n"/>
      <c r="J50" s="349" t="n"/>
      <c r="K50" s="349" t="n"/>
      <c r="L50" s="349" t="n"/>
      <c r="M50" s="349" t="n"/>
      <c r="N50" s="349" t="n"/>
      <c r="O50" s="349" t="n"/>
      <c r="P50" s="349" t="n"/>
      <c r="Q50" s="349" t="n"/>
      <c r="R50" s="349" t="n"/>
      <c r="S50" s="349" t="n"/>
    </row>
    <row r="51">
      <c r="A51" s="325" t="inlineStr">
        <is>
          <t>AP</t>
        </is>
      </c>
      <c r="B51" s="349" t="n"/>
      <c r="C51" s="363" t="inlineStr">
        <is>
          <t>AQU</t>
        </is>
      </c>
      <c r="D51" s="366" t="inlineStr">
        <is>
          <t>Aquisição</t>
        </is>
      </c>
      <c r="E51" s="349" t="n"/>
      <c r="G51" s="101" t="n"/>
      <c r="H51" s="337" t="n"/>
      <c r="I51" s="337" t="n"/>
      <c r="J51" s="337" t="n"/>
      <c r="K51" s="337" t="n"/>
      <c r="L51" s="337" t="n"/>
      <c r="M51" s="337" t="n"/>
      <c r="N51" s="337" t="n"/>
      <c r="O51" s="337" t="n"/>
      <c r="P51" s="337" t="n"/>
      <c r="Q51" s="337" t="n"/>
      <c r="R51" s="337" t="n"/>
      <c r="S51" s="337" t="n"/>
    </row>
    <row r="52">
      <c r="A52" s="325" t="inlineStr">
        <is>
          <t>AM</t>
        </is>
      </c>
      <c r="B52" s="349" t="n"/>
      <c r="C52" s="363" t="inlineStr">
        <is>
          <t>CAP</t>
        </is>
      </c>
      <c r="D52" s="366" t="inlineStr">
        <is>
          <t>Capacitação</t>
        </is>
      </c>
      <c r="E52" s="349" t="n"/>
      <c r="G52" s="101" t="n"/>
      <c r="H52" s="337" t="n"/>
      <c r="I52" s="337" t="n"/>
      <c r="J52" s="337" t="n"/>
      <c r="K52" s="337" t="n"/>
      <c r="L52" s="337" t="n"/>
      <c r="M52" s="337" t="n"/>
      <c r="N52" s="337" t="n"/>
      <c r="O52" s="337" t="n"/>
      <c r="P52" s="337" t="n"/>
      <c r="Q52" s="337" t="n"/>
      <c r="R52" s="337" t="n"/>
      <c r="S52" s="337" t="n"/>
    </row>
    <row r="53">
      <c r="A53" s="325" t="inlineStr">
        <is>
          <t>BA</t>
        </is>
      </c>
      <c r="B53" s="349" t="n"/>
      <c r="C53" s="363" t="inlineStr">
        <is>
          <t>GCO</t>
        </is>
      </c>
      <c r="D53" s="366" t="inlineStr">
        <is>
          <t xml:space="preserve">Gerência de Configuração </t>
        </is>
      </c>
      <c r="E53" s="349" t="n"/>
      <c r="G53" s="101" t="n"/>
      <c r="H53" s="337" t="n"/>
      <c r="I53" s="337" t="n"/>
      <c r="J53" s="337" t="n"/>
      <c r="K53" s="337" t="n"/>
      <c r="L53" s="337" t="n"/>
      <c r="M53" s="337" t="n"/>
      <c r="N53" s="337" t="n"/>
      <c r="O53" s="337" t="n"/>
      <c r="P53" s="337" t="n"/>
      <c r="Q53" s="337" t="n"/>
      <c r="R53" s="337" t="n"/>
      <c r="S53" s="337" t="n"/>
    </row>
    <row r="54">
      <c r="A54" s="325" t="inlineStr">
        <is>
          <t>CE</t>
        </is>
      </c>
      <c r="B54" s="349" t="n"/>
      <c r="C54" s="363" t="inlineStr">
        <is>
          <t>GDE</t>
        </is>
      </c>
      <c r="D54" s="366" t="inlineStr">
        <is>
          <t xml:space="preserve">Gerência de Decisões </t>
        </is>
      </c>
      <c r="E54" s="349" t="n"/>
      <c r="G54" s="101" t="n"/>
      <c r="H54" s="337" t="n"/>
      <c r="I54" s="337" t="n"/>
      <c r="J54" s="337" t="n"/>
      <c r="K54" s="337" t="n"/>
      <c r="L54" s="337" t="n"/>
      <c r="M54" s="337" t="n"/>
      <c r="N54" s="337" t="n"/>
      <c r="O54" s="337" t="n"/>
      <c r="P54" s="337" t="n"/>
      <c r="Q54" s="337" t="n"/>
      <c r="R54" s="337" t="n"/>
      <c r="S54" s="337" t="n"/>
    </row>
    <row r="55">
      <c r="A55" s="325" t="inlineStr">
        <is>
          <t>DF</t>
        </is>
      </c>
      <c r="B55" s="349" t="n"/>
      <c r="C55" s="363" t="inlineStr">
        <is>
          <t>GPC</t>
        </is>
      </c>
      <c r="D55" s="366" t="inlineStr">
        <is>
          <t>Gerência de Processos</t>
        </is>
      </c>
      <c r="E55" s="349" t="n"/>
      <c r="G55" s="101" t="n"/>
      <c r="H55" s="337" t="n"/>
      <c r="I55" s="337" t="n"/>
      <c r="J55" s="337" t="n"/>
      <c r="K55" s="337" t="n"/>
      <c r="L55" s="337" t="n"/>
      <c r="M55" s="337" t="n"/>
      <c r="N55" s="337" t="n"/>
      <c r="O55" s="337" t="n"/>
      <c r="P55" s="337" t="n"/>
      <c r="Q55" s="337" t="n"/>
      <c r="R55" s="337" t="n"/>
      <c r="S55" s="337" t="n"/>
    </row>
    <row r="56">
      <c r="A56" s="325" t="inlineStr">
        <is>
          <t>ES</t>
        </is>
      </c>
      <c r="B56" s="349" t="n"/>
      <c r="C56" s="363" t="inlineStr">
        <is>
          <t>GPR</t>
        </is>
      </c>
      <c r="D56" s="366" t="inlineStr">
        <is>
          <t>Gerência de Projetos</t>
        </is>
      </c>
      <c r="E56" s="349" t="n"/>
      <c r="G56" s="101" t="n"/>
      <c r="H56" s="337" t="n"/>
      <c r="I56" s="337" t="n"/>
      <c r="J56" s="337" t="n"/>
      <c r="K56" s="337" t="n"/>
      <c r="L56" s="337" t="n"/>
      <c r="M56" s="337" t="n"/>
      <c r="N56" s="337" t="n"/>
      <c r="O56" s="337" t="n"/>
      <c r="P56" s="337" t="n"/>
      <c r="Q56" s="337" t="n"/>
      <c r="R56" s="337" t="n"/>
      <c r="S56" s="337" t="n"/>
    </row>
    <row r="57">
      <c r="A57" s="325" t="inlineStr">
        <is>
          <t>GO</t>
        </is>
      </c>
      <c r="B57" s="349" t="n"/>
      <c r="C57" s="363" t="inlineStr">
        <is>
          <t>ITP</t>
        </is>
      </c>
      <c r="D57" s="366" t="inlineStr">
        <is>
          <t>Integração do Produto</t>
        </is>
      </c>
      <c r="E57" s="349" t="n"/>
      <c r="G57" s="101" t="n"/>
      <c r="H57" s="337" t="n"/>
      <c r="I57" s="337" t="n"/>
      <c r="J57" s="337" t="n"/>
      <c r="K57" s="337" t="n"/>
      <c r="L57" s="337" t="n"/>
      <c r="M57" s="337" t="n"/>
      <c r="N57" s="337" t="n"/>
      <c r="O57" s="337" t="n"/>
      <c r="P57" s="337" t="n"/>
      <c r="Q57" s="337" t="n"/>
      <c r="R57" s="337" t="n"/>
      <c r="S57" s="337" t="n"/>
    </row>
    <row r="58">
      <c r="A58" s="325" t="inlineStr">
        <is>
          <t>MA</t>
        </is>
      </c>
      <c r="B58" s="349" t="n"/>
      <c r="C58" s="363" t="inlineStr">
        <is>
          <t>MED</t>
        </is>
      </c>
      <c r="D58" s="366" t="inlineStr">
        <is>
          <t>Medição</t>
        </is>
      </c>
      <c r="E58" s="349" t="n"/>
      <c r="G58" s="101" t="n"/>
      <c r="H58" s="337" t="n"/>
      <c r="I58" s="337" t="n"/>
      <c r="J58" s="337" t="n"/>
      <c r="K58" s="337" t="n"/>
      <c r="L58" s="337" t="n"/>
      <c r="M58" s="337" t="n"/>
      <c r="N58" s="337" t="n"/>
      <c r="O58" s="337" t="n"/>
      <c r="P58" s="337" t="n"/>
      <c r="Q58" s="337" t="n"/>
      <c r="R58" s="337" t="n"/>
      <c r="S58" s="337" t="n"/>
    </row>
    <row r="59">
      <c r="A59" s="325" t="inlineStr">
        <is>
          <t>MT</t>
        </is>
      </c>
      <c r="B59" s="349" t="n"/>
      <c r="C59" s="363" t="inlineStr">
        <is>
          <t>OSW</t>
        </is>
      </c>
      <c r="D59" s="366" t="inlineStr">
        <is>
          <t>Gerência Organizacional de Software</t>
        </is>
      </c>
      <c r="E59" s="349" t="n"/>
      <c r="G59" s="101" t="n"/>
      <c r="H59" s="337" t="n"/>
      <c r="I59" s="337" t="n"/>
      <c r="J59" s="337" t="n"/>
      <c r="K59" s="337" t="n"/>
      <c r="L59" s="337" t="n"/>
      <c r="M59" s="337" t="n"/>
      <c r="N59" s="337" t="n"/>
      <c r="O59" s="337" t="n"/>
      <c r="P59" s="337" t="n"/>
      <c r="Q59" s="337" t="n"/>
      <c r="R59" s="337" t="n"/>
      <c r="S59" s="337" t="n"/>
    </row>
    <row r="60">
      <c r="A60" s="325" t="inlineStr">
        <is>
          <t>MS</t>
        </is>
      </c>
      <c r="B60" s="349" t="n"/>
      <c r="C60" s="363" t="inlineStr">
        <is>
          <t>PCP</t>
        </is>
      </c>
      <c r="D60" s="366" t="inlineStr">
        <is>
          <t>Projeto e Construção do Produto</t>
        </is>
      </c>
      <c r="E60" s="349" t="n"/>
      <c r="G60" s="101" t="n"/>
      <c r="H60" s="337" t="n"/>
      <c r="I60" s="337" t="n"/>
      <c r="J60" s="337" t="n"/>
      <c r="K60" s="337" t="n"/>
      <c r="L60" s="337" t="n"/>
      <c r="M60" s="337" t="n"/>
      <c r="N60" s="337" t="n"/>
      <c r="O60" s="337" t="n"/>
      <c r="P60" s="337" t="n"/>
      <c r="Q60" s="337" t="n"/>
      <c r="R60" s="337" t="n"/>
      <c r="S60" s="337" t="n"/>
    </row>
    <row r="61">
      <c r="A61" s="325" t="inlineStr">
        <is>
          <t>MG</t>
        </is>
      </c>
      <c r="B61" s="349" t="n"/>
      <c r="C61" s="363" t="inlineStr">
        <is>
          <t>REQ</t>
        </is>
      </c>
      <c r="D61" s="366" t="inlineStr">
        <is>
          <t>Engenharia de Requisitos</t>
        </is>
      </c>
      <c r="E61" s="349" t="n"/>
      <c r="G61" s="101" t="n"/>
      <c r="H61" s="337" t="n"/>
      <c r="I61" s="337" t="n"/>
      <c r="J61" s="337" t="n"/>
      <c r="K61" s="337" t="n"/>
      <c r="L61" s="337" t="n"/>
      <c r="M61" s="337" t="n"/>
      <c r="N61" s="337" t="n"/>
      <c r="O61" s="337" t="n"/>
      <c r="P61" s="337" t="n"/>
      <c r="Q61" s="337" t="n"/>
      <c r="R61" s="337" t="n"/>
      <c r="S61" s="337" t="n"/>
    </row>
    <row r="62">
      <c r="A62" s="325" t="inlineStr">
        <is>
          <t>PA</t>
        </is>
      </c>
      <c r="B62" s="349" t="n"/>
      <c r="C62" s="363" t="inlineStr">
        <is>
          <t>VV</t>
        </is>
      </c>
      <c r="D62" s="366" t="inlineStr">
        <is>
          <t>Verificação e Validação</t>
        </is>
      </c>
      <c r="E62" s="349" t="n"/>
      <c r="G62" s="101" t="n"/>
      <c r="H62" s="337" t="n"/>
      <c r="I62" s="337" t="n"/>
      <c r="J62" s="337" t="n"/>
      <c r="K62" s="337" t="n"/>
      <c r="L62" s="337" t="n"/>
      <c r="M62" s="337" t="n"/>
      <c r="N62" s="337" t="n"/>
      <c r="O62" s="337" t="n"/>
      <c r="P62" s="337" t="n"/>
      <c r="Q62" s="337" t="n"/>
      <c r="R62" s="337" t="n"/>
      <c r="S62" s="337" t="n"/>
    </row>
    <row r="63">
      <c r="A63" s="325" t="inlineStr">
        <is>
          <t>PB</t>
        </is>
      </c>
      <c r="B63" s="349" t="n"/>
      <c r="C63" s="345" t="n"/>
      <c r="D63" s="346" t="inlineStr">
        <is>
          <t>Não se aplica</t>
        </is>
      </c>
      <c r="E63" s="349" t="n"/>
      <c r="G63" s="101" t="n"/>
      <c r="H63" s="337" t="n"/>
      <c r="I63" s="337" t="n"/>
      <c r="J63" s="337" t="n"/>
      <c r="K63" s="337" t="n"/>
      <c r="L63" s="337" t="n"/>
      <c r="M63" s="337" t="n"/>
      <c r="N63" s="337" t="n"/>
      <c r="O63" s="337" t="n"/>
      <c r="P63" s="337" t="n"/>
      <c r="Q63" s="337" t="n"/>
      <c r="R63" s="337" t="n"/>
      <c r="S63" s="337" t="n"/>
    </row>
    <row r="64">
      <c r="A64" s="325" t="inlineStr">
        <is>
          <t>PR</t>
        </is>
      </c>
      <c r="B64" s="349" t="n"/>
      <c r="C64" s="335" t="n"/>
      <c r="D64" s="335" t="n"/>
      <c r="E64" s="349" t="n"/>
      <c r="G64" s="101" t="n"/>
      <c r="H64" s="337" t="n"/>
      <c r="I64" s="337" t="n"/>
      <c r="J64" s="337" t="n"/>
      <c r="K64" s="337" t="n"/>
      <c r="L64" s="337" t="n"/>
      <c r="M64" s="337" t="n"/>
      <c r="N64" s="337" t="n"/>
      <c r="O64" s="337" t="n"/>
      <c r="P64" s="337" t="n"/>
      <c r="Q64" s="337" t="n"/>
      <c r="R64" s="337" t="n"/>
      <c r="S64" s="337" t="n"/>
    </row>
    <row r="65">
      <c r="A65" s="325" t="inlineStr">
        <is>
          <t>PE</t>
        </is>
      </c>
      <c r="B65" s="349" t="n"/>
      <c r="C65" s="416" t="inlineStr">
        <is>
          <t>Modelo SV</t>
        </is>
      </c>
      <c r="D65" s="391" t="n"/>
      <c r="E65" s="349" t="n"/>
      <c r="G65" s="101" t="n"/>
      <c r="H65" s="337" t="n"/>
      <c r="I65" s="337" t="n"/>
      <c r="J65" s="337" t="n"/>
      <c r="K65" s="337" t="n"/>
      <c r="L65" s="337" t="n"/>
      <c r="M65" s="337" t="n"/>
      <c r="N65" s="337" t="n"/>
      <c r="O65" s="337" t="n"/>
      <c r="P65" s="337" t="n"/>
      <c r="Q65" s="337" t="n"/>
      <c r="R65" s="337" t="n"/>
      <c r="S65" s="337" t="n"/>
    </row>
    <row r="66">
      <c r="A66" s="325" t="inlineStr">
        <is>
          <t>PI</t>
        </is>
      </c>
      <c r="B66" s="349" t="n"/>
      <c r="C66" s="327" t="inlineStr">
        <is>
          <t>Sigla</t>
        </is>
      </c>
      <c r="D66" s="328" t="inlineStr">
        <is>
          <t>Processos</t>
        </is>
      </c>
      <c r="E66" s="349" t="n"/>
      <c r="G66" s="101" t="n"/>
      <c r="H66" s="337" t="n"/>
      <c r="I66" s="337" t="n"/>
      <c r="J66" s="337" t="n"/>
      <c r="K66" s="337" t="n"/>
      <c r="L66" s="337" t="n"/>
      <c r="M66" s="337" t="n"/>
      <c r="N66" s="337" t="n"/>
      <c r="O66" s="337" t="n"/>
      <c r="P66" s="337" t="n"/>
      <c r="Q66" s="337" t="n"/>
      <c r="R66" s="337" t="n"/>
      <c r="S66" s="337" t="n"/>
    </row>
    <row r="67">
      <c r="A67" s="325" t="inlineStr">
        <is>
          <t>RJ</t>
        </is>
      </c>
      <c r="B67" s="349" t="n"/>
      <c r="C67" s="363" t="inlineStr">
        <is>
          <t>AQU</t>
        </is>
      </c>
      <c r="D67" s="366" t="inlineStr">
        <is>
          <t>Aquisição</t>
        </is>
      </c>
      <c r="E67" s="349" t="n"/>
      <c r="G67" s="101" t="n"/>
      <c r="H67" s="337" t="n"/>
      <c r="I67" s="337" t="n"/>
      <c r="J67" s="337" t="n"/>
      <c r="K67" s="337" t="n"/>
      <c r="L67" s="337" t="n"/>
      <c r="M67" s="337" t="n"/>
      <c r="N67" s="337" t="n"/>
      <c r="O67" s="337" t="n"/>
      <c r="P67" s="337" t="n"/>
      <c r="Q67" s="337" t="n"/>
      <c r="R67" s="337" t="n"/>
      <c r="S67" s="337" t="n"/>
    </row>
    <row r="68">
      <c r="A68" s="325" t="inlineStr">
        <is>
          <t>RN</t>
        </is>
      </c>
      <c r="B68" s="349" t="n"/>
      <c r="C68" s="363" t="inlineStr">
        <is>
          <t>ATD</t>
        </is>
      </c>
      <c r="D68" s="366" t="inlineStr">
        <is>
          <t>Atendimento e Solução</t>
        </is>
      </c>
      <c r="E68" s="349" t="n"/>
      <c r="G68" s="101" t="n"/>
      <c r="H68" s="337" t="n"/>
      <c r="I68" s="337" t="n"/>
      <c r="J68" s="337" t="n"/>
      <c r="K68" s="337" t="n"/>
      <c r="L68" s="337" t="n"/>
      <c r="M68" s="337" t="n"/>
      <c r="N68" s="337" t="n"/>
      <c r="O68" s="337" t="n"/>
      <c r="P68" s="337" t="n"/>
      <c r="Q68" s="337" t="n"/>
      <c r="R68" s="337" t="n"/>
      <c r="S68" s="337" t="n"/>
    </row>
    <row r="69">
      <c r="A69" s="325" t="inlineStr">
        <is>
          <t>RS</t>
        </is>
      </c>
      <c r="B69" s="349" t="n"/>
      <c r="C69" s="363" t="inlineStr">
        <is>
          <t>CAP</t>
        </is>
      </c>
      <c r="D69" s="366" t="inlineStr">
        <is>
          <t>Capacitação</t>
        </is>
      </c>
      <c r="E69" s="349" t="n"/>
      <c r="G69" s="349" t="n"/>
      <c r="H69" s="349" t="n"/>
      <c r="I69" s="349" t="n"/>
      <c r="J69" s="349" t="n"/>
      <c r="K69" s="349" t="n"/>
      <c r="L69" s="349" t="n"/>
      <c r="M69" s="349" t="n"/>
      <c r="N69" s="349" t="n"/>
      <c r="O69" s="349" t="n"/>
      <c r="P69" s="349" t="n"/>
      <c r="Q69" s="349" t="n"/>
      <c r="R69" s="349" t="n"/>
      <c r="S69" s="349" t="n"/>
    </row>
    <row r="70">
      <c r="A70" s="325" t="inlineStr">
        <is>
          <t>RO</t>
        </is>
      </c>
      <c r="B70" s="349" t="n"/>
      <c r="C70" s="363" t="inlineStr">
        <is>
          <t>CDS</t>
        </is>
      </c>
      <c r="D70" s="366" t="inlineStr">
        <is>
          <t>Continuidade, Disponibilidade e Segurança</t>
        </is>
      </c>
      <c r="E70" s="349" t="n"/>
      <c r="G70" s="349" t="n"/>
      <c r="H70" s="349" t="n"/>
      <c r="I70" s="349" t="n"/>
      <c r="J70" s="349" t="n"/>
      <c r="K70" s="349" t="n"/>
      <c r="L70" s="349" t="n"/>
      <c r="M70" s="349" t="n"/>
      <c r="N70" s="349" t="n"/>
      <c r="O70" s="349" t="n"/>
      <c r="P70" s="349" t="n"/>
      <c r="Q70" s="349" t="n"/>
      <c r="R70" s="349" t="n"/>
      <c r="S70" s="349" t="n"/>
    </row>
    <row r="71">
      <c r="A71" s="325" t="inlineStr">
        <is>
          <t>RR</t>
        </is>
      </c>
      <c r="B71" s="349" t="n"/>
      <c r="C71" s="340" t="inlineStr">
        <is>
          <t>GCS</t>
        </is>
      </c>
      <c r="D71" s="366" t="inlineStr">
        <is>
          <t>Gerência de Configuração</t>
        </is>
      </c>
      <c r="E71" s="349" t="n"/>
      <c r="G71" s="349" t="n"/>
      <c r="H71" s="101" t="n"/>
      <c r="I71" s="349" t="n"/>
      <c r="J71" s="349" t="n"/>
      <c r="K71" s="349" t="n"/>
      <c r="L71" s="349" t="n"/>
      <c r="M71" s="349" t="n"/>
      <c r="N71" s="349" t="n"/>
      <c r="O71" s="349" t="n"/>
      <c r="P71" s="349" t="n"/>
      <c r="Q71" s="349" t="n"/>
      <c r="R71" s="349" t="n"/>
      <c r="S71" s="349" t="n"/>
    </row>
    <row r="72">
      <c r="A72" s="325" t="inlineStr">
        <is>
          <t>SC</t>
        </is>
      </c>
      <c r="B72" s="349" t="n"/>
      <c r="C72" s="340" t="inlineStr">
        <is>
          <t>GCV</t>
        </is>
      </c>
      <c r="D72" s="366" t="inlineStr">
        <is>
          <t>Gerência do Ciclo de Vida do Serviço</t>
        </is>
      </c>
      <c r="E72" s="349" t="n"/>
      <c r="G72" s="349" t="n"/>
      <c r="H72" s="101" t="n"/>
      <c r="I72" s="349" t="n"/>
      <c r="J72" s="349" t="n"/>
      <c r="K72" s="349" t="n"/>
      <c r="L72" s="349" t="n"/>
      <c r="M72" s="349" t="n"/>
      <c r="N72" s="349" t="n"/>
      <c r="O72" s="349" t="n"/>
      <c r="P72" s="349" t="n"/>
      <c r="Q72" s="349" t="n"/>
      <c r="R72" s="349" t="n"/>
      <c r="S72" s="349" t="n"/>
    </row>
    <row r="73">
      <c r="A73" s="325" t="inlineStr">
        <is>
          <t>SP</t>
        </is>
      </c>
      <c r="B73" s="349" t="n"/>
      <c r="C73" s="363" t="inlineStr">
        <is>
          <t>GNS</t>
        </is>
      </c>
      <c r="D73" s="366" t="inlineStr">
        <is>
          <t xml:space="preserve">Gerência de Nível de Serviços </t>
        </is>
      </c>
      <c r="E73" s="349" t="n"/>
      <c r="G73" s="349" t="n"/>
      <c r="H73" s="101" t="n"/>
      <c r="I73" s="349" t="n"/>
      <c r="J73" s="349" t="n"/>
      <c r="K73" s="349" t="n"/>
      <c r="L73" s="349" t="n"/>
      <c r="M73" s="349" t="n"/>
      <c r="N73" s="349" t="n"/>
      <c r="O73" s="349" t="n"/>
      <c r="P73" s="349" t="n"/>
      <c r="Q73" s="349" t="n"/>
      <c r="R73" s="349" t="n"/>
      <c r="S73" s="349" t="n"/>
    </row>
    <row r="74">
      <c r="A74" s="325" t="inlineStr">
        <is>
          <t>SE</t>
        </is>
      </c>
      <c r="B74" s="349" t="n"/>
      <c r="C74" s="363" t="inlineStr">
        <is>
          <t>GOS</t>
        </is>
      </c>
      <c r="D74" s="366" t="inlineStr">
        <is>
          <t>Gerência de Operação de Serviço</t>
        </is>
      </c>
      <c r="E74" s="349" t="n"/>
      <c r="G74" s="349" t="n"/>
      <c r="H74" s="101" t="n"/>
      <c r="I74" s="349" t="n"/>
      <c r="J74" s="349" t="n"/>
      <c r="K74" s="349" t="n"/>
      <c r="L74" s="349" t="n"/>
      <c r="M74" s="349" t="n"/>
      <c r="N74" s="349" t="n"/>
      <c r="O74" s="349" t="n"/>
      <c r="P74" s="349" t="n"/>
      <c r="Q74" s="349" t="n"/>
      <c r="R74" s="349" t="n"/>
      <c r="S74" s="349" t="n"/>
    </row>
    <row r="75">
      <c r="A75" s="325" t="inlineStr">
        <is>
          <t>TO</t>
        </is>
      </c>
      <c r="B75" s="349" t="n"/>
      <c r="C75" s="363" t="inlineStr">
        <is>
          <t>GPC</t>
        </is>
      </c>
      <c r="D75" s="366" t="inlineStr">
        <is>
          <t>Gerência de Processos</t>
        </is>
      </c>
      <c r="E75" s="349" t="n"/>
      <c r="G75" s="349" t="n"/>
      <c r="H75" s="101" t="n"/>
      <c r="I75" s="349" t="n"/>
      <c r="J75" s="349" t="n"/>
      <c r="K75" s="349" t="n"/>
      <c r="L75" s="349" t="n"/>
      <c r="M75" s="349" t="n"/>
      <c r="N75" s="349" t="n"/>
      <c r="O75" s="349" t="n"/>
      <c r="P75" s="349" t="n"/>
      <c r="Q75" s="349" t="n"/>
      <c r="R75" s="349" t="n"/>
      <c r="S75" s="349" t="n"/>
    </row>
    <row r="76">
      <c r="A76" s="101" t="n"/>
      <c r="B76" s="349" t="n"/>
      <c r="C76" s="363" t="inlineStr">
        <is>
          <t>MED</t>
        </is>
      </c>
      <c r="D76" s="366" t="inlineStr">
        <is>
          <t>Medição</t>
        </is>
      </c>
      <c r="E76" s="349" t="n"/>
      <c r="G76" s="349" t="n"/>
      <c r="H76" s="101" t="n"/>
      <c r="I76" s="349" t="n"/>
      <c r="J76" s="349" t="n"/>
      <c r="K76" s="349" t="n"/>
      <c r="L76" s="349" t="n"/>
      <c r="M76" s="349" t="n"/>
      <c r="N76" s="349" t="n"/>
      <c r="O76" s="349" t="n"/>
      <c r="P76" s="349" t="n"/>
      <c r="Q76" s="349" t="n"/>
      <c r="R76" s="349" t="n"/>
      <c r="S76" s="349" t="n"/>
    </row>
    <row r="77">
      <c r="A77" s="342" t="inlineStr">
        <is>
          <t>Status Instâncias SW</t>
        </is>
      </c>
      <c r="B77" s="349" t="n"/>
      <c r="C77" s="363" t="inlineStr">
        <is>
          <t>OFD</t>
        </is>
      </c>
      <c r="D77" s="366" t="inlineStr">
        <is>
          <t>Oferta e Demanda</t>
        </is>
      </c>
      <c r="E77" s="349" t="n"/>
      <c r="G77" s="349" t="n"/>
      <c r="H77" s="101" t="n"/>
      <c r="I77" s="349" t="n"/>
      <c r="J77" s="349" t="n"/>
      <c r="K77" s="349" t="n"/>
      <c r="L77" s="349" t="n"/>
      <c r="M77" s="349" t="n"/>
      <c r="N77" s="349" t="n"/>
      <c r="O77" s="349" t="n"/>
      <c r="P77" s="349" t="n"/>
      <c r="Q77" s="349" t="n"/>
      <c r="R77" s="349" t="n"/>
      <c r="S77" s="349" t="n"/>
    </row>
    <row r="78">
      <c r="A78" s="364" t="inlineStr">
        <is>
          <t>Contratação</t>
        </is>
      </c>
      <c r="B78" s="349" t="n"/>
      <c r="C78" s="363" t="inlineStr">
        <is>
          <t>OSV</t>
        </is>
      </c>
      <c r="D78" s="366" t="inlineStr">
        <is>
          <t>Gerência Organizacional de Serviços</t>
        </is>
      </c>
      <c r="E78" s="349" t="n"/>
      <c r="G78" s="349" t="n"/>
      <c r="H78" s="349" t="n"/>
      <c r="I78" s="349" t="n"/>
      <c r="J78" s="349" t="n"/>
      <c r="K78" s="349" t="n"/>
      <c r="L78" s="349" t="n"/>
      <c r="M78" s="349" t="n"/>
      <c r="N78" s="349" t="n"/>
      <c r="O78" s="349" t="n"/>
      <c r="P78" s="349" t="n"/>
      <c r="Q78" s="349" t="n"/>
      <c r="R78" s="349" t="n"/>
      <c r="S78" s="349" t="n"/>
    </row>
    <row r="79">
      <c r="A79" s="364" t="inlineStr">
        <is>
          <t>Planejamento</t>
        </is>
      </c>
      <c r="B79" s="349" t="n"/>
      <c r="C79" s="345" t="n"/>
      <c r="D79" s="346" t="inlineStr">
        <is>
          <t>Não se aplica</t>
        </is>
      </c>
      <c r="E79" s="349" t="n"/>
      <c r="G79" s="349" t="n"/>
      <c r="H79" s="349" t="n"/>
      <c r="I79" s="349" t="n"/>
      <c r="J79" s="349" t="n"/>
      <c r="K79" s="349" t="n"/>
      <c r="L79" s="349" t="n"/>
      <c r="M79" s="349" t="n"/>
      <c r="N79" s="349" t="n"/>
      <c r="O79" s="349" t="n"/>
      <c r="P79" s="349" t="n"/>
      <c r="Q79" s="349" t="n"/>
      <c r="R79" s="349" t="n"/>
      <c r="S79" s="349" t="n"/>
    </row>
    <row r="80">
      <c r="A80" s="364" t="inlineStr">
        <is>
          <t>Pesquisa e MVP</t>
        </is>
      </c>
      <c r="B80" s="349" t="n"/>
      <c r="C80" s="335" t="n"/>
      <c r="D80" s="335" t="n"/>
      <c r="E80" s="349" t="n"/>
      <c r="F80" s="101" t="n"/>
      <c r="G80" s="349" t="n"/>
      <c r="H80" s="349" t="n"/>
      <c r="I80" s="349" t="n"/>
      <c r="J80" s="349" t="n"/>
      <c r="K80" s="349" t="n"/>
      <c r="L80" s="349" t="n"/>
      <c r="M80" s="349" t="n"/>
      <c r="N80" s="349" t="n"/>
      <c r="O80" s="349" t="n"/>
      <c r="P80" s="349" t="n"/>
      <c r="Q80" s="349" t="n"/>
      <c r="R80" s="349" t="n"/>
      <c r="S80" s="349" t="n"/>
    </row>
    <row r="81">
      <c r="A81" s="364" t="inlineStr">
        <is>
          <t>Análise/projeto</t>
        </is>
      </c>
      <c r="B81" s="349" t="n"/>
      <c r="C81" s="416" t="inlineStr">
        <is>
          <t>Modelo RH</t>
        </is>
      </c>
      <c r="D81" s="391" t="n"/>
      <c r="E81" s="349" t="n"/>
      <c r="F81" s="101" t="n"/>
      <c r="G81" s="349" t="n"/>
      <c r="H81" s="349" t="n"/>
      <c r="I81" s="349" t="n"/>
      <c r="J81" s="349" t="n"/>
      <c r="K81" s="349" t="n"/>
      <c r="L81" s="349" t="n"/>
      <c r="M81" s="349" t="n"/>
      <c r="N81" s="349" t="n"/>
      <c r="O81" s="349" t="n"/>
      <c r="P81" s="349" t="n"/>
      <c r="Q81" s="349" t="n"/>
      <c r="R81" s="349" t="n"/>
      <c r="S81" s="349" t="n"/>
    </row>
    <row r="82">
      <c r="A82" s="364" t="inlineStr">
        <is>
          <t>Construção</t>
        </is>
      </c>
      <c r="B82" s="349" t="n"/>
      <c r="C82" s="327" t="inlineStr">
        <is>
          <t>Sigla</t>
        </is>
      </c>
      <c r="D82" s="328" t="inlineStr">
        <is>
          <t>Processos</t>
        </is>
      </c>
      <c r="E82" s="349" t="n"/>
      <c r="F82" s="101" t="n"/>
      <c r="G82" s="349" t="n"/>
      <c r="H82" s="349" t="n"/>
      <c r="I82" s="349" t="n"/>
      <c r="J82" s="349" t="n"/>
      <c r="K82" s="349" t="n"/>
      <c r="L82" s="349" t="n"/>
      <c r="M82" s="349" t="n"/>
      <c r="N82" s="349" t="n"/>
      <c r="O82" s="349" t="n"/>
      <c r="P82" s="349" t="n"/>
      <c r="Q82" s="349" t="n"/>
      <c r="R82" s="349" t="n"/>
      <c r="S82" s="349" t="n"/>
    </row>
    <row r="83">
      <c r="A83" s="364" t="inlineStr">
        <is>
          <t>Teste</t>
        </is>
      </c>
      <c r="B83" s="349" t="n"/>
      <c r="C83" s="345" t="inlineStr">
        <is>
          <t>ACP</t>
        </is>
      </c>
      <c r="D83" s="346" t="inlineStr">
        <is>
          <t>Análise de Competências</t>
        </is>
      </c>
      <c r="E83" s="349" t="n"/>
      <c r="F83" s="101" t="n"/>
      <c r="G83" s="349" t="n"/>
      <c r="H83" s="349" t="n"/>
      <c r="I83" s="349" t="n"/>
      <c r="J83" s="349" t="n"/>
      <c r="K83" s="349" t="n"/>
      <c r="L83" s="349" t="n"/>
      <c r="M83" s="349" t="n"/>
      <c r="N83" s="349" t="n"/>
      <c r="O83" s="349" t="n"/>
      <c r="P83" s="349" t="n"/>
      <c r="Q83" s="349" t="n"/>
      <c r="R83" s="349" t="n"/>
      <c r="S83" s="349" t="n"/>
    </row>
    <row r="84">
      <c r="A84" s="364" t="inlineStr">
        <is>
          <t>Parado</t>
        </is>
      </c>
      <c r="B84" s="349" t="n"/>
      <c r="C84" s="345" t="inlineStr">
        <is>
          <t>ADO</t>
        </is>
      </c>
      <c r="D84" s="346" t="inlineStr">
        <is>
          <t>Alinhamento do Desempenho Organizacional</t>
        </is>
      </c>
      <c r="E84" s="349" t="n"/>
      <c r="F84" s="101" t="n"/>
      <c r="G84" s="349" t="n"/>
      <c r="H84" s="349" t="n"/>
      <c r="I84" s="349" t="n"/>
      <c r="J84" s="349" t="n"/>
      <c r="K84" s="349" t="n"/>
      <c r="L84" s="349" t="n"/>
      <c r="M84" s="349" t="n"/>
      <c r="N84" s="349" t="n"/>
      <c r="O84" s="349" t="n"/>
      <c r="P84" s="349" t="n"/>
      <c r="Q84" s="349" t="n"/>
      <c r="R84" s="349" t="n"/>
      <c r="S84" s="349" t="n"/>
    </row>
    <row r="85">
      <c r="A85" s="364" t="inlineStr">
        <is>
          <t>Concluído</t>
        </is>
      </c>
      <c r="B85" s="349" t="n"/>
      <c r="C85" s="345" t="inlineStr">
        <is>
          <t>CDV</t>
        </is>
      </c>
      <c r="D85" s="346" t="inlineStr">
        <is>
          <t>Capacitação e Desenvolvimento</t>
        </is>
      </c>
      <c r="E85" s="349" t="n"/>
      <c r="F85" s="101" t="n"/>
      <c r="G85" s="349" t="n"/>
      <c r="H85" s="349" t="n"/>
      <c r="I85" s="349" t="n"/>
      <c r="J85" s="349" t="n"/>
      <c r="K85" s="349" t="n"/>
      <c r="L85" s="349" t="n"/>
      <c r="M85" s="349" t="n"/>
      <c r="N85" s="349" t="n"/>
      <c r="O85" s="349" t="n"/>
      <c r="P85" s="349" t="n"/>
      <c r="Q85" s="349" t="n"/>
      <c r="R85" s="349" t="n"/>
      <c r="S85" s="349" t="n"/>
    </row>
    <row r="86">
      <c r="A86" s="349" t="n"/>
      <c r="B86" s="349" t="n"/>
      <c r="C86" s="345" t="inlineStr">
        <is>
          <t>DCA</t>
        </is>
      </c>
      <c r="D86" s="346" t="inlineStr">
        <is>
          <t>Desenvolvimento de Carreira</t>
        </is>
      </c>
      <c r="E86" s="349" t="n"/>
      <c r="F86" s="101" t="n"/>
      <c r="G86" s="349" t="n"/>
      <c r="H86" s="349" t="n"/>
      <c r="I86" s="349" t="n"/>
      <c r="J86" s="349" t="n"/>
      <c r="K86" s="349" t="n"/>
      <c r="L86" s="349" t="n"/>
      <c r="M86" s="349" t="n"/>
      <c r="N86" s="349" t="n"/>
      <c r="O86" s="349" t="n"/>
      <c r="P86" s="349" t="n"/>
      <c r="Q86" s="349" t="n"/>
      <c r="R86" s="349" t="n"/>
      <c r="S86" s="349" t="n"/>
    </row>
    <row r="87">
      <c r="A87" s="342" t="inlineStr">
        <is>
          <t>Status Instâncias SV</t>
        </is>
      </c>
      <c r="B87" s="349" t="n"/>
      <c r="C87" s="345" t="inlineStr">
        <is>
          <t>DGT</t>
        </is>
      </c>
      <c r="D87" s="346" t="inlineStr">
        <is>
          <t>Desenvolvimento de Grupos de Trabalho</t>
        </is>
      </c>
      <c r="E87" s="349" t="n"/>
      <c r="F87" s="101" t="n"/>
      <c r="G87" s="349" t="n"/>
      <c r="H87" s="349" t="n"/>
      <c r="I87" s="349" t="n"/>
      <c r="J87" s="349" t="n"/>
      <c r="K87" s="349" t="n"/>
      <c r="L87" s="349" t="n"/>
      <c r="M87" s="349" t="n"/>
      <c r="N87" s="349" t="n"/>
      <c r="O87" s="349" t="n"/>
      <c r="P87" s="349" t="n"/>
      <c r="Q87" s="349" t="n"/>
      <c r="R87" s="349" t="n"/>
      <c r="S87" s="349" t="n"/>
    </row>
    <row r="88">
      <c r="A88" s="364" t="inlineStr">
        <is>
          <t>Contratação</t>
        </is>
      </c>
      <c r="B88" s="349" t="n"/>
      <c r="C88" s="345" t="inlineStr">
        <is>
          <t>DVC</t>
        </is>
      </c>
      <c r="D88" s="346" t="inlineStr">
        <is>
          <t>Desenvolvimento de Competências</t>
        </is>
      </c>
      <c r="E88" s="349" t="n"/>
      <c r="F88" s="101" t="n"/>
      <c r="G88" s="349" t="n"/>
      <c r="H88" s="349" t="n"/>
      <c r="I88" s="349" t="n"/>
      <c r="J88" s="349" t="n"/>
      <c r="K88" s="349" t="n"/>
      <c r="L88" s="349" t="n"/>
      <c r="M88" s="349" t="n"/>
      <c r="N88" s="349" t="n"/>
      <c r="O88" s="349" t="n"/>
      <c r="P88" s="349" t="n"/>
      <c r="Q88" s="349" t="n"/>
      <c r="R88" s="349" t="n"/>
      <c r="S88" s="349" t="n"/>
    </row>
    <row r="89">
      <c r="A89" s="364" t="inlineStr">
        <is>
          <t>Planejamento</t>
        </is>
      </c>
      <c r="B89" s="349" t="n"/>
      <c r="C89" s="345" t="inlineStr">
        <is>
          <t>GCP</t>
        </is>
      </c>
      <c r="D89" s="346" t="inlineStr">
        <is>
          <t>Gerência da Capacidade Organizacional</t>
        </is>
      </c>
      <c r="E89" s="349" t="n"/>
      <c r="F89" s="101" t="n"/>
      <c r="G89" s="349" t="n"/>
      <c r="H89" s="349" t="n"/>
      <c r="I89" s="349" t="n"/>
      <c r="J89" s="349" t="n"/>
      <c r="K89" s="349" t="n"/>
      <c r="L89" s="349" t="n"/>
      <c r="M89" s="349" t="n"/>
      <c r="N89" s="349" t="n"/>
      <c r="O89" s="349" t="n"/>
      <c r="P89" s="349" t="n"/>
      <c r="Q89" s="349" t="n"/>
      <c r="R89" s="349" t="n"/>
      <c r="S89" s="349" t="n"/>
    </row>
    <row r="90">
      <c r="A90" s="364" t="inlineStr">
        <is>
          <t>Execução</t>
        </is>
      </c>
      <c r="B90" s="349" t="n"/>
      <c r="C90" s="345" t="inlineStr">
        <is>
          <t>GPE</t>
        </is>
      </c>
      <c r="D90" s="346" t="inlineStr">
        <is>
          <t>Gerência de Pessoas</t>
        </is>
      </c>
      <c r="E90" s="349" t="n"/>
      <c r="F90" s="101" t="n"/>
      <c r="G90" s="349" t="n"/>
      <c r="H90" s="349" t="n"/>
      <c r="I90" s="349" t="n"/>
      <c r="J90" s="349" t="n"/>
      <c r="K90" s="349" t="n"/>
      <c r="L90" s="349" t="n"/>
      <c r="M90" s="349" t="n"/>
      <c r="N90" s="349" t="n"/>
      <c r="O90" s="349" t="n"/>
      <c r="P90" s="349" t="n"/>
      <c r="Q90" s="349" t="n"/>
      <c r="R90" s="349" t="n"/>
      <c r="S90" s="349" t="n"/>
    </row>
    <row r="91">
      <c r="A91" s="364" t="inlineStr">
        <is>
          <t>Execução Contínua</t>
        </is>
      </c>
      <c r="B91" s="349" t="n"/>
      <c r="C91" s="345" t="inlineStr">
        <is>
          <t>GQD</t>
        </is>
      </c>
      <c r="D91" s="346" t="inlineStr">
        <is>
          <t>Gerência Quantitativa de Desempenho</t>
        </is>
      </c>
      <c r="E91" s="349" t="n"/>
      <c r="F91" s="101" t="n"/>
      <c r="G91" s="349" t="n"/>
      <c r="H91" s="349" t="n"/>
      <c r="I91" s="349" t="n"/>
      <c r="J91" s="349" t="n"/>
      <c r="K91" s="349" t="n"/>
      <c r="L91" s="349" t="n"/>
      <c r="M91" s="349" t="n"/>
      <c r="N91" s="349" t="n"/>
      <c r="O91" s="349" t="n"/>
      <c r="P91" s="349" t="n"/>
      <c r="Q91" s="349" t="n"/>
      <c r="R91" s="349" t="n"/>
      <c r="S91" s="349" t="n"/>
    </row>
    <row r="92">
      <c r="A92" s="364" t="inlineStr">
        <is>
          <t>Parado</t>
        </is>
      </c>
      <c r="B92" s="349" t="n"/>
      <c r="C92" s="345" t="inlineStr">
        <is>
          <t>GRC</t>
        </is>
      </c>
      <c r="D92" s="346" t="inlineStr">
        <is>
          <t>Gerência de Recursos</t>
        </is>
      </c>
      <c r="E92" s="349" t="n"/>
      <c r="F92" s="101" t="n"/>
      <c r="G92" s="349" t="n"/>
      <c r="H92" s="349" t="n"/>
      <c r="I92" s="349" t="n"/>
      <c r="J92" s="349" t="n"/>
      <c r="K92" s="349" t="n"/>
      <c r="L92" s="349" t="n"/>
      <c r="M92" s="349" t="n"/>
      <c r="N92" s="349" t="n"/>
      <c r="O92" s="349" t="n"/>
      <c r="P92" s="349" t="n"/>
      <c r="Q92" s="349" t="n"/>
      <c r="R92" s="349" t="n"/>
      <c r="S92" s="349" t="n"/>
    </row>
    <row r="93">
      <c r="A93" s="364" t="inlineStr">
        <is>
          <t>Concluído</t>
        </is>
      </c>
      <c r="B93" s="349" t="n"/>
      <c r="C93" s="345" t="inlineStr">
        <is>
          <t>ICF</t>
        </is>
      </c>
      <c r="D93" s="346" t="inlineStr">
        <is>
          <t>Inovação Contínua da Força de Trabalho</t>
        </is>
      </c>
      <c r="E93" s="349" t="n"/>
      <c r="F93" s="101" t="n"/>
      <c r="G93" s="349" t="n"/>
      <c r="H93" s="349" t="n"/>
      <c r="I93" s="349" t="n"/>
      <c r="J93" s="349" t="n"/>
      <c r="K93" s="349" t="n"/>
      <c r="L93" s="349" t="n"/>
      <c r="M93" s="349" t="n"/>
      <c r="N93" s="349" t="n"/>
      <c r="O93" s="349" t="n"/>
      <c r="P93" s="349" t="n"/>
      <c r="Q93" s="349" t="n"/>
      <c r="R93" s="349" t="n"/>
      <c r="S93" s="349" t="n"/>
    </row>
    <row r="94">
      <c r="A94" s="349" t="n"/>
      <c r="B94" s="349" t="n"/>
      <c r="C94" s="345" t="inlineStr">
        <is>
          <t>ICG</t>
        </is>
      </c>
      <c r="D94" s="347" t="inlineStr">
        <is>
          <t>Integração de Competências e Grupos de Trabalho Habilitados</t>
        </is>
      </c>
      <c r="E94" s="349" t="n"/>
      <c r="F94" s="349" t="n"/>
      <c r="G94" s="349" t="n"/>
      <c r="H94" s="349" t="n"/>
      <c r="I94" s="349" t="n"/>
      <c r="J94" s="349" t="n"/>
      <c r="K94" s="349" t="n"/>
      <c r="L94" s="349" t="n"/>
      <c r="M94" s="349" t="n"/>
      <c r="N94" s="349" t="n"/>
      <c r="O94" s="349" t="n"/>
      <c r="P94" s="349" t="n"/>
      <c r="Q94" s="349" t="n"/>
      <c r="R94" s="349" t="n"/>
      <c r="S94" s="349" t="n"/>
    </row>
    <row r="95">
      <c r="A95" s="342" t="inlineStr">
        <is>
          <t>Status Instâncias RH</t>
        </is>
      </c>
      <c r="B95" s="349" t="n"/>
      <c r="C95" s="345" t="inlineStr">
        <is>
          <t>MCC</t>
        </is>
      </c>
      <c r="D95" s="346" t="inlineStr">
        <is>
          <t>Melhoria Contínua da Capacidade</t>
        </is>
      </c>
      <c r="E95" s="349" t="n"/>
      <c r="F95" s="349" t="n"/>
      <c r="G95" s="349" t="n"/>
      <c r="H95" s="349" t="n"/>
      <c r="I95" s="349" t="n"/>
      <c r="J95" s="349" t="n"/>
      <c r="K95" s="349" t="n"/>
      <c r="L95" s="349" t="n"/>
      <c r="M95" s="349" t="n"/>
      <c r="N95" s="349" t="n"/>
      <c r="O95" s="349" t="n"/>
      <c r="P95" s="349" t="n"/>
      <c r="Q95" s="349" t="n"/>
      <c r="R95" s="349" t="n"/>
      <c r="S95" s="349" t="n"/>
    </row>
    <row r="96">
      <c r="A96" s="364" t="inlineStr">
        <is>
          <t>-</t>
        </is>
      </c>
      <c r="B96" s="349" t="n"/>
      <c r="C96" s="345" t="inlineStr">
        <is>
          <t>MEN</t>
        </is>
      </c>
      <c r="D96" s="346" t="inlineStr">
        <is>
          <t>Mentoring</t>
        </is>
      </c>
      <c r="E96" s="349" t="n"/>
      <c r="F96" s="349" t="n"/>
      <c r="G96" s="349" t="n"/>
      <c r="H96" s="349" t="n"/>
      <c r="I96" s="349" t="n"/>
      <c r="J96" s="349" t="n"/>
      <c r="K96" s="349" t="n"/>
      <c r="L96" s="349" t="n"/>
      <c r="M96" s="349" t="n"/>
      <c r="N96" s="349" t="n"/>
      <c r="O96" s="349" t="n"/>
      <c r="P96" s="349" t="n"/>
      <c r="Q96" s="349" t="n"/>
      <c r="R96" s="349" t="n"/>
      <c r="S96" s="349" t="n"/>
    </row>
    <row r="97">
      <c r="A97" s="364" t="inlineStr">
        <is>
          <t>-</t>
        </is>
      </c>
      <c r="B97" s="349" t="n"/>
      <c r="C97" s="345" t="inlineStr">
        <is>
          <t>PBC</t>
        </is>
      </c>
      <c r="D97" s="346" t="inlineStr">
        <is>
          <t>Práticas Baseadas em Competências</t>
        </is>
      </c>
      <c r="E97" s="349" t="n"/>
      <c r="F97" s="349" t="n"/>
      <c r="G97" s="349" t="n"/>
      <c r="H97" s="349" t="n"/>
      <c r="I97" s="349" t="n"/>
      <c r="J97" s="349" t="n"/>
      <c r="K97" s="349" t="n"/>
      <c r="L97" s="349" t="n"/>
      <c r="M97" s="349" t="n"/>
      <c r="N97" s="349" t="n"/>
      <c r="O97" s="349" t="n"/>
      <c r="P97" s="349" t="n"/>
      <c r="Q97" s="349" t="n"/>
      <c r="R97" s="349" t="n"/>
      <c r="S97" s="349" t="n"/>
    </row>
    <row r="98">
      <c r="A98" s="364" t="inlineStr">
        <is>
          <t>-</t>
        </is>
      </c>
      <c r="B98" s="349" t="n"/>
      <c r="C98" s="345" t="inlineStr">
        <is>
          <t>PFT</t>
        </is>
      </c>
      <c r="D98" s="346" t="inlineStr">
        <is>
          <t>Planejamento da Força de Trabalho</t>
        </is>
      </c>
      <c r="E98" s="349" t="n"/>
      <c r="F98" s="349" t="n"/>
      <c r="G98" s="349" t="n"/>
      <c r="H98" s="349" t="n"/>
      <c r="I98" s="349" t="n"/>
      <c r="J98" s="349" t="n"/>
      <c r="K98" s="349" t="n"/>
      <c r="L98" s="349" t="n"/>
      <c r="M98" s="349" t="n"/>
      <c r="N98" s="349" t="n"/>
      <c r="O98" s="349" t="n"/>
      <c r="P98" s="349" t="n"/>
      <c r="Q98" s="349" t="n"/>
      <c r="R98" s="349" t="n"/>
      <c r="S98" s="349" t="n"/>
    </row>
    <row r="99">
      <c r="A99" s="364" t="inlineStr">
        <is>
          <t>-</t>
        </is>
      </c>
      <c r="B99" s="349" t="n"/>
      <c r="C99" s="345" t="inlineStr">
        <is>
          <t>REC</t>
        </is>
      </c>
      <c r="D99" s="346" t="inlineStr">
        <is>
          <t>Reconhecimento</t>
        </is>
      </c>
      <c r="E99" s="349" t="n"/>
      <c r="F99" s="349" t="n"/>
      <c r="G99" s="349" t="n"/>
      <c r="H99" s="349" t="n"/>
      <c r="I99" s="349" t="n"/>
      <c r="J99" s="349" t="n"/>
      <c r="K99" s="349" t="n"/>
      <c r="L99" s="349" t="n"/>
      <c r="M99" s="349" t="n"/>
      <c r="N99" s="349" t="n"/>
      <c r="O99" s="349" t="n"/>
      <c r="P99" s="349" t="n"/>
      <c r="Q99" s="349" t="n"/>
      <c r="R99" s="349" t="n"/>
      <c r="S99" s="349" t="n"/>
    </row>
    <row r="100">
      <c r="A100" s="364" t="inlineStr">
        <is>
          <t>-</t>
        </is>
      </c>
      <c r="B100" s="349" t="n"/>
      <c r="C100" s="345" t="n"/>
      <c r="D100" s="346" t="inlineStr">
        <is>
          <t>Não se aplica</t>
        </is>
      </c>
      <c r="E100" s="349" t="n"/>
      <c r="F100" s="349" t="n"/>
      <c r="G100" s="349" t="n"/>
      <c r="H100" s="349" t="n"/>
      <c r="I100" s="349" t="n"/>
      <c r="J100" s="349" t="n"/>
      <c r="K100" s="349" t="n"/>
      <c r="L100" s="349" t="n"/>
      <c r="M100" s="349" t="n"/>
      <c r="N100" s="349" t="n"/>
      <c r="O100" s="349" t="n"/>
      <c r="P100" s="349" t="n"/>
      <c r="Q100" s="349" t="n"/>
      <c r="R100" s="349" t="n"/>
      <c r="S100" s="349" t="n"/>
    </row>
    <row r="101">
      <c r="A101" s="364" t="inlineStr">
        <is>
          <t>-</t>
        </is>
      </c>
      <c r="B101" s="349" t="n"/>
      <c r="C101" s="349" t="n"/>
      <c r="D101" s="349" t="n"/>
      <c r="E101" s="349" t="n"/>
      <c r="F101" s="349" t="n"/>
      <c r="G101" s="349" t="n"/>
      <c r="H101" s="349" t="n"/>
      <c r="I101" s="349" t="n"/>
      <c r="J101" s="349" t="n"/>
      <c r="K101" s="349" t="n"/>
      <c r="L101" s="349" t="n"/>
      <c r="M101" s="349" t="n"/>
      <c r="N101" s="349" t="n"/>
      <c r="O101" s="349" t="n"/>
      <c r="P101" s="349" t="n"/>
      <c r="Q101" s="349" t="n"/>
      <c r="R101" s="349" t="n"/>
      <c r="S101" s="349" t="n"/>
    </row>
    <row r="102">
      <c r="A102" s="101" t="n"/>
      <c r="B102" s="349" t="n"/>
      <c r="C102" s="342" t="inlineStr">
        <is>
          <t>Processos do Modelo Avaliado</t>
        </is>
      </c>
      <c r="D102" s="386" t="n"/>
      <c r="E102" s="101" t="n"/>
      <c r="F102" s="349" t="n"/>
      <c r="G102" s="349" t="n"/>
      <c r="H102" s="349" t="n"/>
      <c r="I102" s="349" t="n"/>
      <c r="J102" s="349" t="n"/>
      <c r="K102" s="349" t="n"/>
      <c r="L102" s="349" t="n"/>
      <c r="M102" s="349" t="n"/>
      <c r="N102" s="349" t="n"/>
      <c r="O102" s="349" t="n"/>
      <c r="P102" s="349" t="n"/>
      <c r="Q102" s="349" t="n"/>
      <c r="R102" s="349" t="n"/>
      <c r="S102" s="349" t="n"/>
    </row>
    <row r="103">
      <c r="A103" s="342" t="inlineStr">
        <is>
          <t>Status Instâncias Modelo Selecionado</t>
        </is>
      </c>
      <c r="B103" s="349" t="n"/>
      <c r="C103" s="351" t="inlineStr">
        <is>
          <t>Sigla</t>
        </is>
      </c>
      <c r="D103" s="351" t="inlineStr">
        <is>
          <t>Processos</t>
        </is>
      </c>
      <c r="E103" s="101" t="n"/>
      <c r="F103" s="349" t="n"/>
      <c r="G103" s="349" t="n"/>
      <c r="H103" s="349" t="n"/>
      <c r="I103" s="349" t="n"/>
      <c r="J103" s="349" t="n"/>
      <c r="K103" s="349" t="n"/>
      <c r="L103" s="349" t="n"/>
      <c r="M103" s="349" t="n"/>
      <c r="N103" s="349" t="n"/>
      <c r="O103" s="349" t="n"/>
      <c r="P103" s="349" t="n"/>
      <c r="Q103" s="349" t="n"/>
      <c r="R103" s="349" t="n"/>
      <c r="S103" s="349" t="n"/>
    </row>
    <row r="104">
      <c r="A104" s="364">
        <f t="array" ref="A104:A111">INDIRECT("SituacoesInstancias" &amp; mid(ModeloAvaliado,5,2))</f>
        <v/>
      </c>
      <c r="B104" s="349" t="n"/>
      <c r="C104" s="352">
        <f t="array" ref="C104:D116">INDIRECT("Modelo" &amp; mid(ModeloAvaliado,5,2))</f>
        <v/>
      </c>
      <c r="D104" s="354" t="inlineStr">
        <is>
          <t>Aquisição</t>
        </is>
      </c>
      <c r="E104" s="101" t="n"/>
      <c r="F104" s="349" t="n"/>
      <c r="G104" s="349" t="n"/>
      <c r="H104" s="349" t="n"/>
      <c r="I104" s="349" t="n"/>
      <c r="J104" s="349" t="n"/>
      <c r="K104" s="349" t="n"/>
      <c r="L104" s="349" t="n"/>
      <c r="M104" s="349" t="n"/>
      <c r="N104" s="349" t="n"/>
      <c r="O104" s="349" t="n"/>
      <c r="P104" s="349" t="n"/>
      <c r="Q104" s="349" t="n"/>
      <c r="R104" s="349" t="n"/>
      <c r="S104" s="349" t="n"/>
    </row>
    <row r="105">
      <c r="A105" s="364" t="inlineStr">
        <is>
          <t>Planejamento</t>
        </is>
      </c>
      <c r="B105" s="349" t="n"/>
      <c r="C105" s="354" t="inlineStr">
        <is>
          <t>CAP</t>
        </is>
      </c>
      <c r="D105" s="354" t="inlineStr">
        <is>
          <t>Capacitação</t>
        </is>
      </c>
      <c r="E105" s="101" t="n"/>
      <c r="F105" s="349" t="n"/>
      <c r="G105" s="349" t="n"/>
      <c r="H105" s="349" t="n"/>
      <c r="I105" s="349" t="n"/>
      <c r="J105" s="349" t="n"/>
      <c r="K105" s="349" t="n"/>
      <c r="L105" s="349" t="n"/>
      <c r="M105" s="349" t="n"/>
      <c r="N105" s="349" t="n"/>
      <c r="O105" s="349" t="n"/>
      <c r="P105" s="349" t="n"/>
      <c r="Q105" s="349" t="n"/>
      <c r="R105" s="349" t="n"/>
      <c r="S105" s="349" t="n"/>
    </row>
    <row r="106">
      <c r="A106" s="364" t="inlineStr">
        <is>
          <t>Pesquisa e MVP</t>
        </is>
      </c>
      <c r="B106" s="349" t="n"/>
      <c r="C106" s="354" t="inlineStr">
        <is>
          <t>GCO</t>
        </is>
      </c>
      <c r="D106" s="354" t="inlineStr">
        <is>
          <t xml:space="preserve">Gerência de Configuração </t>
        </is>
      </c>
      <c r="E106" s="101" t="n"/>
      <c r="F106" s="349" t="n"/>
      <c r="G106" s="349" t="n"/>
      <c r="H106" s="349" t="n"/>
      <c r="I106" s="349" t="n"/>
      <c r="J106" s="349" t="n"/>
      <c r="K106" s="349" t="n"/>
      <c r="L106" s="349" t="n"/>
      <c r="M106" s="349" t="n"/>
      <c r="N106" s="349" t="n"/>
      <c r="O106" s="349" t="n"/>
      <c r="P106" s="349" t="n"/>
      <c r="Q106" s="349" t="n"/>
      <c r="R106" s="349" t="n"/>
      <c r="S106" s="349" t="n"/>
    </row>
    <row r="107">
      <c r="A107" s="364" t="inlineStr">
        <is>
          <t>Análise/projeto</t>
        </is>
      </c>
      <c r="B107" s="349" t="n"/>
      <c r="C107" s="354" t="inlineStr">
        <is>
          <t>GDE</t>
        </is>
      </c>
      <c r="D107" s="354" t="inlineStr">
        <is>
          <t xml:space="preserve">Gerência de Decisões </t>
        </is>
      </c>
      <c r="E107" s="101" t="n"/>
      <c r="F107" s="349" t="n"/>
      <c r="G107" s="349" t="n"/>
      <c r="H107" s="349" t="n"/>
      <c r="I107" s="349" t="n"/>
      <c r="J107" s="349" t="n"/>
      <c r="K107" s="349" t="n"/>
      <c r="L107" s="349" t="n"/>
      <c r="M107" s="349" t="n"/>
      <c r="N107" s="349" t="n"/>
      <c r="O107" s="349" t="n"/>
      <c r="P107" s="349" t="n"/>
      <c r="Q107" s="349" t="n"/>
      <c r="R107" s="349" t="n"/>
      <c r="S107" s="349" t="n"/>
    </row>
    <row r="108">
      <c r="A108" s="364" t="inlineStr">
        <is>
          <t>Construção</t>
        </is>
      </c>
      <c r="B108" s="349" t="n"/>
      <c r="C108" s="354" t="inlineStr">
        <is>
          <t>GPC</t>
        </is>
      </c>
      <c r="D108" s="354" t="inlineStr">
        <is>
          <t>Gerência de Processos</t>
        </is>
      </c>
      <c r="E108" s="101" t="n"/>
      <c r="F108" s="349" t="n"/>
      <c r="G108" s="349" t="n"/>
      <c r="H108" s="349" t="n"/>
      <c r="I108" s="349" t="n"/>
      <c r="J108" s="349" t="n"/>
      <c r="K108" s="349" t="n"/>
      <c r="L108" s="349" t="n"/>
      <c r="M108" s="349" t="n"/>
      <c r="N108" s="349" t="n"/>
      <c r="O108" s="349" t="n"/>
      <c r="P108" s="349" t="n"/>
      <c r="Q108" s="349" t="n"/>
      <c r="R108" s="349" t="n"/>
      <c r="S108" s="349" t="n"/>
    </row>
    <row r="109">
      <c r="A109" s="364" t="inlineStr">
        <is>
          <t>Teste</t>
        </is>
      </c>
      <c r="B109" s="349" t="n"/>
      <c r="C109" s="354" t="inlineStr">
        <is>
          <t>GPR</t>
        </is>
      </c>
      <c r="D109" s="354" t="inlineStr">
        <is>
          <t>Gerência de Projetos</t>
        </is>
      </c>
      <c r="E109" s="101" t="n"/>
      <c r="F109" s="349" t="n"/>
      <c r="G109" s="349" t="n"/>
      <c r="H109" s="349" t="n"/>
      <c r="I109" s="349" t="n"/>
      <c r="J109" s="349" t="n"/>
      <c r="K109" s="349" t="n"/>
      <c r="L109" s="349" t="n"/>
      <c r="M109" s="349" t="n"/>
      <c r="N109" s="349" t="n"/>
      <c r="O109" s="349" t="n"/>
      <c r="P109" s="349" t="n"/>
      <c r="Q109" s="349" t="n"/>
      <c r="R109" s="349" t="n"/>
      <c r="S109" s="349" t="n"/>
    </row>
    <row r="110">
      <c r="A110" s="364" t="inlineStr">
        <is>
          <t>Parado</t>
        </is>
      </c>
      <c r="B110" s="349" t="n"/>
      <c r="C110" s="354" t="inlineStr">
        <is>
          <t>ITP</t>
        </is>
      </c>
      <c r="D110" s="354" t="inlineStr">
        <is>
          <t>Integração do Produto</t>
        </is>
      </c>
      <c r="E110" s="101" t="n"/>
      <c r="F110" s="349" t="n"/>
      <c r="G110" s="349" t="n"/>
      <c r="H110" s="349" t="n"/>
      <c r="I110" s="349" t="n"/>
      <c r="J110" s="349" t="n"/>
      <c r="K110" s="349" t="n"/>
      <c r="L110" s="349" t="n"/>
      <c r="M110" s="349" t="n"/>
      <c r="N110" s="349" t="n"/>
      <c r="O110" s="349" t="n"/>
      <c r="P110" s="349" t="n"/>
      <c r="Q110" s="349" t="n"/>
      <c r="R110" s="349" t="n"/>
      <c r="S110" s="349" t="n"/>
    </row>
    <row r="111">
      <c r="A111" s="364" t="inlineStr">
        <is>
          <t>Concluído</t>
        </is>
      </c>
      <c r="B111" s="349" t="n"/>
      <c r="C111" s="354" t="inlineStr">
        <is>
          <t>MED</t>
        </is>
      </c>
      <c r="D111" s="354" t="inlineStr">
        <is>
          <t>Medição</t>
        </is>
      </c>
      <c r="E111" s="101" t="n"/>
      <c r="F111" s="349" t="n"/>
      <c r="G111" s="349" t="n"/>
      <c r="H111" s="349" t="n"/>
      <c r="I111" s="349" t="n"/>
      <c r="J111" s="349" t="n"/>
      <c r="K111" s="349" t="n"/>
      <c r="L111" s="349" t="n"/>
      <c r="M111" s="349" t="n"/>
      <c r="N111" s="349" t="n"/>
      <c r="O111" s="349" t="n"/>
      <c r="P111" s="349" t="n"/>
      <c r="Q111" s="349" t="n"/>
      <c r="R111" s="349" t="n"/>
      <c r="S111" s="349" t="n"/>
    </row>
    <row r="112">
      <c r="A112" s="349" t="n"/>
      <c r="B112" s="349" t="n"/>
      <c r="C112" s="354" t="inlineStr">
        <is>
          <t>OSW</t>
        </is>
      </c>
      <c r="D112" s="354" t="inlineStr">
        <is>
          <t>Gerência Organizacional de Software</t>
        </is>
      </c>
      <c r="E112" s="101" t="n"/>
      <c r="F112" s="349" t="n"/>
      <c r="G112" s="349" t="n"/>
      <c r="H112" s="349" t="n"/>
      <c r="I112" s="349" t="n"/>
      <c r="J112" s="349" t="n"/>
      <c r="K112" s="349" t="n"/>
      <c r="L112" s="349" t="n"/>
      <c r="M112" s="349" t="n"/>
      <c r="N112" s="349" t="n"/>
      <c r="O112" s="349" t="n"/>
      <c r="P112" s="349" t="n"/>
      <c r="Q112" s="349" t="n"/>
      <c r="R112" s="349" t="n"/>
      <c r="S112" s="349" t="n"/>
    </row>
    <row r="113">
      <c r="B113" s="349" t="n"/>
      <c r="C113" s="354" t="inlineStr">
        <is>
          <t>PCP</t>
        </is>
      </c>
      <c r="D113" s="354" t="inlineStr">
        <is>
          <t>Projeto e Construção do Produto</t>
        </is>
      </c>
      <c r="E113" s="101" t="n"/>
      <c r="F113" s="349" t="n"/>
      <c r="G113" s="349" t="n"/>
      <c r="H113" s="349" t="n"/>
      <c r="I113" s="349" t="n"/>
      <c r="J113" s="349" t="n"/>
      <c r="K113" s="349" t="n"/>
      <c r="L113" s="349" t="n"/>
      <c r="M113" s="349" t="n"/>
      <c r="N113" s="349" t="n"/>
      <c r="O113" s="349" t="n"/>
      <c r="P113" s="349" t="n"/>
      <c r="Q113" s="349" t="n"/>
      <c r="R113" s="349" t="n"/>
      <c r="S113" s="349" t="n"/>
    </row>
    <row r="114">
      <c r="A114" s="349" t="n"/>
      <c r="B114" s="349" t="n"/>
      <c r="C114" s="354" t="inlineStr">
        <is>
          <t>REQ</t>
        </is>
      </c>
      <c r="D114" s="354" t="inlineStr">
        <is>
          <t>Engenharia de Requisitos</t>
        </is>
      </c>
      <c r="E114" s="101" t="n"/>
      <c r="F114" s="349" t="n"/>
      <c r="G114" s="349" t="n"/>
      <c r="H114" s="349" t="n"/>
      <c r="I114" s="349" t="n"/>
      <c r="J114" s="349" t="n"/>
      <c r="K114" s="349" t="n"/>
      <c r="L114" s="349" t="n"/>
      <c r="M114" s="349" t="n"/>
      <c r="N114" s="349" t="n"/>
      <c r="O114" s="349" t="n"/>
      <c r="P114" s="349" t="n"/>
      <c r="Q114" s="349" t="n"/>
      <c r="R114" s="349" t="n"/>
      <c r="S114" s="349" t="n"/>
    </row>
    <row r="115">
      <c r="A115" s="349" t="n"/>
      <c r="B115" s="349" t="n"/>
      <c r="C115" s="354" t="inlineStr">
        <is>
          <t>VV</t>
        </is>
      </c>
      <c r="D115" s="354" t="inlineStr">
        <is>
          <t>Verificação e Validação</t>
        </is>
      </c>
      <c r="E115" s="101" t="n"/>
      <c r="F115" s="349" t="n"/>
      <c r="G115" s="349" t="n"/>
      <c r="H115" s="349" t="n"/>
      <c r="I115" s="349" t="n"/>
      <c r="J115" s="349" t="n"/>
      <c r="K115" s="349" t="n"/>
      <c r="L115" s="349" t="n"/>
      <c r="M115" s="349" t="n"/>
      <c r="N115" s="349" t="n"/>
      <c r="O115" s="349" t="n"/>
      <c r="P115" s="349" t="n"/>
      <c r="Q115" s="349" t="n"/>
      <c r="R115" s="349" t="n"/>
      <c r="S115" s="349" t="n"/>
    </row>
    <row r="116">
      <c r="A116" s="349" t="n"/>
      <c r="B116" s="349" t="n"/>
      <c r="C116" s="354" t="n"/>
      <c r="D116" s="354" t="inlineStr">
        <is>
          <t>Não se aplica</t>
        </is>
      </c>
      <c r="E116" s="101" t="n"/>
      <c r="F116" s="349" t="n"/>
      <c r="G116" s="349" t="n"/>
      <c r="H116" s="349" t="n"/>
      <c r="I116" s="349" t="n"/>
      <c r="J116" s="349" t="n"/>
      <c r="K116" s="349" t="n"/>
      <c r="L116" s="349" t="n"/>
      <c r="M116" s="349" t="n"/>
      <c r="N116" s="349" t="n"/>
      <c r="O116" s="349" t="n"/>
      <c r="P116" s="349" t="n"/>
      <c r="Q116" s="349" t="n"/>
      <c r="R116" s="349" t="n"/>
      <c r="S116" s="349" t="n"/>
    </row>
    <row r="117">
      <c r="A117" s="349" t="n"/>
      <c r="B117" s="349" t="n"/>
      <c r="C117" s="354" t="n"/>
      <c r="D117" s="354" t="n"/>
      <c r="E117" s="101" t="n"/>
      <c r="F117" s="349" t="n"/>
      <c r="G117" s="349" t="n"/>
      <c r="H117" s="349" t="n"/>
      <c r="I117" s="349" t="n"/>
      <c r="J117" s="349" t="n"/>
      <c r="K117" s="349" t="n"/>
      <c r="L117" s="349" t="n"/>
      <c r="M117" s="349" t="n"/>
      <c r="N117" s="349" t="n"/>
      <c r="O117" s="349" t="n"/>
      <c r="P117" s="349" t="n"/>
      <c r="Q117" s="349" t="n"/>
      <c r="R117" s="349" t="n"/>
      <c r="S117" s="349" t="n"/>
    </row>
    <row r="118">
      <c r="A118" s="349" t="n"/>
      <c r="B118" s="349" t="n"/>
      <c r="C118" s="354" t="n"/>
      <c r="D118" s="354" t="n"/>
      <c r="E118" s="101" t="n"/>
      <c r="F118" s="349" t="n"/>
      <c r="G118" s="349" t="n"/>
      <c r="H118" s="349" t="n"/>
      <c r="I118" s="349" t="n"/>
      <c r="J118" s="349" t="n"/>
      <c r="K118" s="349" t="n"/>
      <c r="L118" s="349" t="n"/>
      <c r="M118" s="349" t="n"/>
      <c r="N118" s="349" t="n"/>
      <c r="O118" s="349" t="n"/>
      <c r="P118" s="349" t="n"/>
      <c r="Q118" s="349" t="n"/>
      <c r="R118" s="349" t="n"/>
      <c r="S118" s="349" t="n"/>
    </row>
    <row r="119">
      <c r="A119" s="349" t="n"/>
      <c r="B119" s="349" t="n"/>
      <c r="C119" s="354" t="n"/>
      <c r="D119" s="354" t="n"/>
      <c r="E119" s="101" t="n"/>
      <c r="F119" s="349" t="n"/>
      <c r="G119" s="349" t="n"/>
      <c r="H119" s="349" t="n"/>
      <c r="I119" s="349" t="n"/>
      <c r="J119" s="349" t="n"/>
      <c r="K119" s="349" t="n"/>
      <c r="L119" s="349" t="n"/>
      <c r="M119" s="349" t="n"/>
      <c r="N119" s="349" t="n"/>
      <c r="O119" s="349" t="n"/>
      <c r="P119" s="349" t="n"/>
      <c r="Q119" s="349" t="n"/>
      <c r="R119" s="349" t="n"/>
      <c r="S119" s="349" t="n"/>
    </row>
    <row r="120">
      <c r="A120" s="349" t="n"/>
      <c r="B120" s="349" t="n"/>
      <c r="C120" s="354" t="n"/>
      <c r="D120" s="354" t="n"/>
      <c r="E120" s="101" t="n"/>
      <c r="F120" s="349" t="n"/>
      <c r="G120" s="349" t="n"/>
      <c r="H120" s="349" t="n"/>
      <c r="I120" s="349" t="n"/>
      <c r="J120" s="349" t="n"/>
      <c r="K120" s="349" t="n"/>
      <c r="L120" s="349" t="n"/>
      <c r="M120" s="349" t="n"/>
      <c r="N120" s="349" t="n"/>
      <c r="O120" s="349" t="n"/>
      <c r="P120" s="349" t="n"/>
      <c r="Q120" s="349" t="n"/>
      <c r="R120" s="349" t="n"/>
      <c r="S120" s="349" t="n"/>
    </row>
    <row r="121">
      <c r="A121" s="349" t="n"/>
      <c r="B121" s="349" t="n"/>
      <c r="C121" s="354" t="n"/>
      <c r="D121" s="354" t="n"/>
      <c r="E121" s="101" t="n"/>
      <c r="F121" s="349" t="n"/>
      <c r="G121" s="349" t="n"/>
      <c r="H121" s="349" t="n"/>
      <c r="I121" s="349" t="n"/>
      <c r="J121" s="349" t="n"/>
      <c r="K121" s="349" t="n"/>
      <c r="L121" s="349" t="n"/>
      <c r="M121" s="349" t="n"/>
      <c r="N121" s="349" t="n"/>
      <c r="O121" s="349" t="n"/>
      <c r="P121" s="349" t="n"/>
      <c r="Q121" s="349" t="n"/>
      <c r="R121" s="349" t="n"/>
      <c r="S121" s="349" t="n"/>
    </row>
    <row r="122">
      <c r="A122" s="349" t="n"/>
      <c r="B122" s="349" t="n"/>
      <c r="C122" s="349" t="n"/>
      <c r="D122" s="349" t="n"/>
      <c r="E122" s="349" t="n"/>
      <c r="F122" s="349" t="n"/>
      <c r="G122" s="349" t="n"/>
      <c r="H122" s="349" t="n"/>
      <c r="I122" s="349" t="n"/>
      <c r="J122" s="349" t="n"/>
      <c r="K122" s="349" t="n"/>
      <c r="L122" s="349" t="n"/>
      <c r="M122" s="349" t="n"/>
      <c r="N122" s="349" t="n"/>
      <c r="O122" s="349" t="n"/>
      <c r="P122" s="349" t="n"/>
      <c r="Q122" s="349" t="n"/>
      <c r="R122" s="349" t="n"/>
      <c r="S122" s="349" t="n"/>
    </row>
    <row r="123">
      <c r="A123" s="349" t="n"/>
      <c r="B123" s="349" t="n"/>
      <c r="C123" s="342" t="inlineStr">
        <is>
          <t>Exclusões de Resultados Esperados - SW</t>
        </is>
      </c>
      <c r="D123" s="386" t="n"/>
      <c r="E123" s="349" t="n"/>
      <c r="F123" s="355" t="inlineStr">
        <is>
          <t>Dados das Instancias Selecionadas para a Avaliação</t>
        </is>
      </c>
      <c r="G123" s="390" t="n"/>
      <c r="H123" s="390" t="n"/>
      <c r="I123" s="390" t="n"/>
      <c r="J123" s="349" t="n"/>
      <c r="K123" s="349" t="n"/>
      <c r="L123" s="349" t="n"/>
      <c r="M123" s="349" t="n"/>
      <c r="N123" s="349" t="n"/>
      <c r="O123" s="349" t="n"/>
      <c r="P123" s="349" t="n"/>
      <c r="Q123" s="349" t="n"/>
      <c r="R123" s="349" t="n"/>
      <c r="S123" s="349" t="n"/>
    </row>
    <row r="124">
      <c r="A124" s="349" t="n"/>
      <c r="B124" s="349" t="n"/>
      <c r="C124" s="327" t="inlineStr">
        <is>
          <t>Sigla</t>
        </is>
      </c>
      <c r="D124" s="328" t="inlineStr">
        <is>
          <t>Processos</t>
        </is>
      </c>
      <c r="E124" s="349" t="n"/>
      <c r="F124" s="356" t="inlineStr">
        <is>
          <t>Nome</t>
        </is>
      </c>
      <c r="G124" s="358" t="inlineStr">
        <is>
          <t>Gerência</t>
        </is>
      </c>
      <c r="H124" s="358" t="inlineStr">
        <is>
          <t>No. de Participantes</t>
        </is>
      </c>
      <c r="I124" s="358">
        <f t="array" ref="I124">INDIRECT("StatusInstancias" &amp; MID(ModeloAvaliado,5,2))</f>
        <v/>
      </c>
      <c r="J124" s="349" t="n"/>
      <c r="K124" s="349" t="n"/>
      <c r="L124" s="349" t="n"/>
      <c r="M124" s="349" t="n"/>
      <c r="N124" s="349" t="n"/>
      <c r="O124" s="349" t="n"/>
      <c r="P124" s="349" t="n"/>
      <c r="Q124" s="349" t="n"/>
      <c r="R124" s="349" t="n"/>
      <c r="S124" s="349" t="n"/>
    </row>
    <row r="125">
      <c r="A125" s="349" t="n"/>
      <c r="B125" s="349" t="n"/>
      <c r="C125" s="363" t="inlineStr">
        <is>
          <t>-</t>
        </is>
      </c>
      <c r="D125" s="366" t="inlineStr">
        <is>
          <t>Não se aplica</t>
        </is>
      </c>
      <c r="E125" s="349" t="n"/>
      <c r="F125" s="360">
        <f>IFERROR(__xludf.DUMMYFUNCTION("iferror(query(indirect(""Dados"" &amp; INDIRECT(""Instancias"" &amp; SIGLA_MODELO())), ""select "" &amp; INDIRECT(""ColunaInstancia"" &amp; SIGLA_MODELO()) &amp; "", "" &amp; INDIRECT(""ColunaGerente"" &amp; SIGLA_MODELO()) &amp; "", "" &amp; INDIRECT(""ColunaNumParticipantes"" &amp; SIGLA_MODE"&amp;"LO()) &amp; "", "" &amp; INDIRECT(""ColunaSituacao"" &amp; SIGLA_MODELO()) &amp; "" where "" &amp; INDIRECT(""ColunaSelecao"" &amp; SIGLA_MODELO()) &amp; "" = 'Sim'"",false),""Não há instâncias selecionadas para avaliação."")"),"Não há instâncias selecionadas para avaliação.")</f>
        <v/>
      </c>
      <c r="G125" s="361" t="n"/>
      <c r="H125" s="362" t="n"/>
      <c r="I125" s="362" t="n"/>
      <c r="J125" s="349" t="n"/>
      <c r="K125" s="349" t="n"/>
      <c r="L125" s="349" t="n"/>
      <c r="M125" s="349" t="n"/>
      <c r="N125" s="349" t="n"/>
      <c r="O125" s="349" t="n"/>
      <c r="P125" s="349" t="n"/>
      <c r="Q125" s="349" t="n"/>
      <c r="R125" s="349" t="n"/>
      <c r="S125" s="349" t="n"/>
    </row>
    <row r="126">
      <c r="A126" s="349" t="n"/>
      <c r="B126" s="349" t="n"/>
      <c r="C126" s="363" t="inlineStr">
        <is>
          <t>AQU</t>
        </is>
      </c>
      <c r="D126" s="366" t="inlineStr">
        <is>
          <t>Aquisição</t>
        </is>
      </c>
      <c r="E126" s="349" t="n"/>
      <c r="F126" s="364" t="n"/>
      <c r="G126" s="361" t="n"/>
      <c r="H126" s="362" t="n"/>
      <c r="I126" s="362" t="n"/>
      <c r="J126" s="349" t="n"/>
      <c r="K126" s="349" t="n"/>
      <c r="L126" s="349" t="n"/>
      <c r="M126" s="349" t="n"/>
      <c r="N126" s="349" t="n"/>
      <c r="O126" s="349" t="n"/>
      <c r="P126" s="349" t="n"/>
      <c r="Q126" s="349" t="n"/>
      <c r="R126" s="349" t="n"/>
      <c r="S126" s="349" t="n"/>
    </row>
    <row r="127">
      <c r="A127" s="349" t="n"/>
      <c r="B127" s="349" t="n"/>
      <c r="C127" s="363" t="inlineStr">
        <is>
          <t>OSW</t>
        </is>
      </c>
      <c r="D127" s="366" t="inlineStr">
        <is>
          <t>Gerência Organizacional de Software</t>
        </is>
      </c>
      <c r="E127" s="349" t="n"/>
      <c r="F127" s="364" t="n"/>
      <c r="G127" s="364" t="n"/>
      <c r="H127" s="364" t="n"/>
      <c r="I127" s="364" t="n"/>
      <c r="J127" s="349" t="n"/>
      <c r="K127" s="349" t="n"/>
      <c r="L127" s="349" t="n"/>
      <c r="M127" s="349" t="n"/>
      <c r="N127" s="349" t="n"/>
      <c r="O127" s="349" t="n"/>
      <c r="P127" s="349" t="n"/>
      <c r="Q127" s="349" t="n"/>
      <c r="R127" s="349" t="n"/>
      <c r="S127" s="349" t="n"/>
    </row>
    <row r="128">
      <c r="A128" s="349" t="n"/>
      <c r="B128" s="349" t="n"/>
      <c r="E128" s="349" t="n"/>
      <c r="F128" s="364" t="n"/>
      <c r="G128" s="364" t="n"/>
      <c r="H128" s="364" t="n"/>
      <c r="I128" s="364" t="n"/>
      <c r="J128" s="349" t="n"/>
      <c r="K128" s="349" t="n"/>
      <c r="L128" s="349" t="n"/>
      <c r="M128" s="349" t="n"/>
      <c r="N128" s="349" t="n"/>
      <c r="O128" s="349" t="n"/>
      <c r="P128" s="349" t="n"/>
      <c r="Q128" s="349" t="n"/>
      <c r="R128" s="349" t="n"/>
      <c r="S128" s="349" t="n"/>
    </row>
    <row r="129">
      <c r="A129" s="349" t="n"/>
      <c r="B129" s="349" t="n"/>
      <c r="C129" s="342" t="inlineStr">
        <is>
          <t>Exclusões de Resultados Esperados - SV</t>
        </is>
      </c>
      <c r="D129" s="386" t="n"/>
      <c r="E129" s="349" t="n"/>
      <c r="F129" s="364" t="n"/>
      <c r="G129" s="364" t="n"/>
      <c r="H129" s="364" t="n"/>
      <c r="I129" s="364" t="n"/>
      <c r="J129" s="349" t="n"/>
      <c r="K129" s="349" t="n"/>
      <c r="L129" s="349" t="n"/>
      <c r="M129" s="349" t="n"/>
      <c r="N129" s="349" t="n"/>
      <c r="O129" s="349" t="n"/>
      <c r="P129" s="349" t="n"/>
      <c r="Q129" s="349" t="n"/>
      <c r="R129" s="349" t="n"/>
      <c r="S129" s="349" t="n"/>
    </row>
    <row r="130">
      <c r="A130" s="349" t="n"/>
      <c r="B130" s="349" t="n"/>
      <c r="C130" s="327" t="inlineStr">
        <is>
          <t>Sigla</t>
        </is>
      </c>
      <c r="D130" s="328" t="inlineStr">
        <is>
          <t>Processos</t>
        </is>
      </c>
      <c r="E130" s="349" t="n"/>
      <c r="F130" s="364" t="n"/>
      <c r="G130" s="364" t="n"/>
      <c r="H130" s="364" t="n"/>
      <c r="I130" s="364" t="n"/>
      <c r="J130" s="349" t="n"/>
      <c r="K130" s="349" t="n"/>
      <c r="L130" s="349" t="n"/>
      <c r="M130" s="349" t="n"/>
      <c r="N130" s="349" t="n"/>
      <c r="O130" s="349" t="n"/>
      <c r="P130" s="349" t="n"/>
      <c r="Q130" s="349" t="n"/>
      <c r="R130" s="349" t="n"/>
      <c r="S130" s="349" t="n"/>
    </row>
    <row r="131">
      <c r="A131" s="349" t="n"/>
      <c r="B131" s="349" t="n"/>
      <c r="C131" s="363" t="inlineStr">
        <is>
          <t>-</t>
        </is>
      </c>
      <c r="D131" s="366" t="inlineStr">
        <is>
          <t>Não se aplica</t>
        </is>
      </c>
      <c r="E131" s="349" t="n"/>
      <c r="F131" s="364" t="n"/>
      <c r="G131" s="364" t="n"/>
      <c r="H131" s="364" t="n"/>
      <c r="I131" s="364" t="n"/>
      <c r="J131" s="349" t="n"/>
      <c r="K131" s="349" t="n"/>
      <c r="L131" s="349" t="n"/>
      <c r="M131" s="349" t="n"/>
      <c r="N131" s="349" t="n"/>
      <c r="O131" s="349" t="n"/>
      <c r="P131" s="349" t="n"/>
      <c r="Q131" s="349" t="n"/>
      <c r="R131" s="349" t="n"/>
      <c r="S131" s="349" t="n"/>
    </row>
    <row r="132">
      <c r="A132" s="349" t="n"/>
      <c r="B132" s="349" t="n"/>
      <c r="C132" s="340" t="inlineStr">
        <is>
          <t>GCV</t>
        </is>
      </c>
      <c r="D132" s="366" t="inlineStr">
        <is>
          <t>Gerência do Ciclo de Vida do Serviço</t>
        </is>
      </c>
      <c r="E132" s="349" t="n"/>
      <c r="F132" s="364" t="n"/>
      <c r="G132" s="364" t="n"/>
      <c r="H132" s="364" t="n"/>
      <c r="I132" s="364" t="n"/>
      <c r="J132" s="349" t="n"/>
      <c r="K132" s="349" t="n"/>
      <c r="L132" s="349" t="n"/>
      <c r="M132" s="349" t="n"/>
      <c r="N132" s="349" t="n"/>
      <c r="O132" s="349" t="n"/>
      <c r="P132" s="349" t="n"/>
      <c r="Q132" s="349" t="n"/>
      <c r="R132" s="349" t="n"/>
      <c r="S132" s="349" t="n"/>
    </row>
    <row r="133">
      <c r="A133" s="349" t="n"/>
      <c r="B133" s="349" t="n"/>
      <c r="C133" s="363" t="inlineStr">
        <is>
          <t>OSV</t>
        </is>
      </c>
      <c r="D133" s="366" t="inlineStr">
        <is>
          <t>Gerência Organizacional de Serviços</t>
        </is>
      </c>
      <c r="E133" s="349" t="n"/>
      <c r="F133" s="364" t="n"/>
      <c r="G133" s="364" t="n"/>
      <c r="H133" s="364" t="n"/>
      <c r="I133" s="364" t="n"/>
      <c r="J133" s="349" t="n"/>
      <c r="K133" s="349" t="n"/>
      <c r="L133" s="349" t="n"/>
      <c r="M133" s="349" t="n"/>
      <c r="N133" s="349" t="n"/>
      <c r="O133" s="349" t="n"/>
      <c r="P133" s="349" t="n"/>
      <c r="Q133" s="349" t="n"/>
      <c r="R133" s="349" t="n"/>
      <c r="S133" s="349" t="n"/>
    </row>
    <row r="134">
      <c r="A134" s="349" t="n"/>
      <c r="B134" s="349" t="n"/>
      <c r="C134" s="349" t="n"/>
      <c r="D134" s="349" t="n"/>
      <c r="E134" s="349" t="n"/>
      <c r="F134" s="364" t="n"/>
      <c r="G134" s="364" t="n"/>
      <c r="H134" s="364" t="n"/>
      <c r="I134" s="364" t="n"/>
      <c r="J134" s="349" t="n"/>
      <c r="K134" s="349" t="n"/>
      <c r="L134" s="349" t="n"/>
      <c r="M134" s="349" t="n"/>
      <c r="N134" s="349" t="n"/>
      <c r="O134" s="349" t="n"/>
      <c r="P134" s="349" t="n"/>
      <c r="Q134" s="349" t="n"/>
      <c r="R134" s="349" t="n"/>
      <c r="S134" s="349" t="n"/>
    </row>
    <row r="135">
      <c r="A135" s="349" t="n"/>
      <c r="B135" s="349" t="n"/>
      <c r="C135" s="342" t="inlineStr">
        <is>
          <t>Exclusões de Resultados Esperados - RH</t>
        </is>
      </c>
      <c r="D135" s="386" t="n"/>
      <c r="E135" s="349" t="n"/>
      <c r="F135" s="364" t="n"/>
      <c r="G135" s="364" t="n"/>
      <c r="H135" s="364" t="n"/>
      <c r="I135" s="364" t="n"/>
      <c r="J135" s="349" t="n"/>
      <c r="K135" s="349" t="n"/>
      <c r="L135" s="349" t="n"/>
      <c r="M135" s="349" t="n"/>
      <c r="N135" s="349" t="n"/>
      <c r="O135" s="349" t="n"/>
      <c r="P135" s="349" t="n"/>
      <c r="Q135" s="349" t="n"/>
      <c r="R135" s="349" t="n"/>
      <c r="S135" s="349" t="n"/>
    </row>
    <row r="136">
      <c r="A136" s="349" t="n"/>
      <c r="B136" s="349" t="n"/>
      <c r="C136" s="327" t="inlineStr">
        <is>
          <t>Sigla</t>
        </is>
      </c>
      <c r="D136" s="328" t="inlineStr">
        <is>
          <t>Processos</t>
        </is>
      </c>
      <c r="E136" s="349" t="n"/>
      <c r="F136" s="364" t="n"/>
      <c r="G136" s="364" t="n"/>
      <c r="H136" s="364" t="n"/>
      <c r="I136" s="364" t="n"/>
      <c r="J136" s="349" t="n"/>
      <c r="K136" s="349" t="n"/>
      <c r="L136" s="349" t="n"/>
      <c r="M136" s="349" t="n"/>
      <c r="N136" s="349" t="n"/>
      <c r="O136" s="349" t="n"/>
      <c r="P136" s="349" t="n"/>
      <c r="Q136" s="349" t="n"/>
      <c r="R136" s="349" t="n"/>
      <c r="S136" s="349" t="n"/>
    </row>
    <row r="137">
      <c r="A137" s="349" t="n"/>
      <c r="B137" s="349" t="n"/>
      <c r="C137" s="363" t="inlineStr">
        <is>
          <t>-</t>
        </is>
      </c>
      <c r="D137" s="366" t="inlineStr">
        <is>
          <t>Não se aplica</t>
        </is>
      </c>
      <c r="E137" s="349" t="n"/>
      <c r="F137" s="364" t="n"/>
      <c r="G137" s="364" t="n"/>
      <c r="H137" s="364" t="n"/>
      <c r="I137" s="364" t="n"/>
      <c r="J137" s="349" t="n"/>
      <c r="K137" s="349" t="n"/>
      <c r="L137" s="349" t="n"/>
      <c r="M137" s="349" t="n"/>
      <c r="N137" s="349" t="n"/>
      <c r="O137" s="349" t="n"/>
      <c r="P137" s="349" t="n"/>
      <c r="Q137" s="349" t="n"/>
      <c r="R137" s="349" t="n"/>
      <c r="S137" s="349" t="n"/>
    </row>
    <row r="138">
      <c r="A138" s="349" t="n"/>
      <c r="B138" s="349" t="n"/>
      <c r="C138" s="363" t="n"/>
      <c r="D138" s="366" t="n"/>
      <c r="E138" s="349" t="n"/>
      <c r="F138" s="364" t="n"/>
      <c r="G138" s="364" t="n"/>
      <c r="H138" s="364" t="n"/>
      <c r="I138" s="364" t="n"/>
      <c r="J138" s="349" t="n"/>
      <c r="K138" s="349" t="n"/>
      <c r="L138" s="349" t="n"/>
      <c r="M138" s="349" t="n"/>
      <c r="N138" s="349" t="n"/>
      <c r="O138" s="349" t="n"/>
      <c r="P138" s="349" t="n"/>
      <c r="Q138" s="349" t="n"/>
      <c r="R138" s="349" t="n"/>
      <c r="S138" s="349" t="n"/>
    </row>
    <row r="139">
      <c r="A139" s="349" t="n"/>
      <c r="B139" s="349" t="n"/>
      <c r="C139" s="363" t="n"/>
      <c r="D139" s="366" t="n"/>
      <c r="E139" s="349" t="n"/>
      <c r="F139" s="364" t="n"/>
      <c r="G139" s="364" t="n"/>
      <c r="H139" s="364" t="n"/>
      <c r="I139" s="364" t="n"/>
      <c r="J139" s="349" t="n"/>
      <c r="K139" s="349" t="n"/>
      <c r="L139" s="349" t="n"/>
      <c r="M139" s="349" t="n"/>
      <c r="N139" s="349" t="n"/>
      <c r="O139" s="349" t="n"/>
      <c r="P139" s="349" t="n"/>
      <c r="Q139" s="349" t="n"/>
      <c r="R139" s="349" t="n"/>
      <c r="S139" s="349" t="n"/>
    </row>
    <row r="140">
      <c r="A140" s="349" t="n"/>
      <c r="B140" s="349" t="n"/>
      <c r="C140" s="349" t="n"/>
      <c r="D140" s="349" t="n"/>
      <c r="E140" s="349" t="n"/>
      <c r="F140" s="364" t="n"/>
      <c r="G140" s="364" t="n"/>
      <c r="H140" s="364" t="n"/>
      <c r="I140" s="364" t="n"/>
      <c r="J140" s="349" t="n"/>
      <c r="K140" s="349" t="n"/>
      <c r="L140" s="349" t="n"/>
      <c r="M140" s="349" t="n"/>
      <c r="N140" s="349" t="n"/>
      <c r="O140" s="349" t="n"/>
      <c r="P140" s="349" t="n"/>
      <c r="Q140" s="349" t="n"/>
      <c r="R140" s="349" t="n"/>
      <c r="S140" s="349" t="n"/>
    </row>
    <row r="141">
      <c r="A141" s="349" t="n"/>
      <c r="B141" s="349" t="n"/>
      <c r="C141" s="342" t="inlineStr">
        <is>
          <t>Exclusões - Modelo Selecionado</t>
        </is>
      </c>
      <c r="D141" s="386" t="n"/>
      <c r="E141" s="349" t="n"/>
      <c r="F141" s="364" t="n"/>
      <c r="G141" s="364" t="n"/>
      <c r="H141" s="364" t="n"/>
      <c r="I141" s="364" t="n"/>
      <c r="J141" s="349" t="n"/>
      <c r="K141" s="349" t="n"/>
      <c r="L141" s="349" t="n"/>
      <c r="M141" s="349" t="n"/>
      <c r="N141" s="349" t="n"/>
      <c r="O141" s="349" t="n"/>
      <c r="P141" s="349" t="n"/>
      <c r="Q141" s="349" t="n"/>
      <c r="R141" s="349" t="n"/>
      <c r="S141" s="349" t="n"/>
    </row>
    <row r="142">
      <c r="A142" s="349" t="n"/>
      <c r="B142" s="349" t="n"/>
      <c r="C142" s="351" t="inlineStr">
        <is>
          <t>Sigla</t>
        </is>
      </c>
      <c r="D142" s="351" t="inlineStr">
        <is>
          <t>Processos</t>
        </is>
      </c>
      <c r="E142" s="349" t="n"/>
      <c r="F142" s="364" t="n"/>
      <c r="G142" s="364" t="n"/>
      <c r="H142" s="364" t="n"/>
      <c r="I142" s="364" t="n"/>
      <c r="J142" s="349" t="n"/>
      <c r="K142" s="349" t="n"/>
      <c r="L142" s="349" t="n"/>
      <c r="M142" s="349" t="n"/>
      <c r="N142" s="349" t="n"/>
      <c r="O142" s="349" t="n"/>
      <c r="P142" s="349" t="n"/>
      <c r="Q142" s="349" t="n"/>
      <c r="R142" s="349" t="n"/>
      <c r="S142" s="349" t="n"/>
    </row>
    <row r="143">
      <c r="A143" s="349" t="n"/>
      <c r="B143" s="349" t="n"/>
      <c r="C143" s="352">
        <f t="array" ref="C143:D145">INDIRECT("ExclusoesModelo" &amp; mid(ModeloAvaliado,5,2))</f>
        <v/>
      </c>
      <c r="D143" s="354" t="inlineStr">
        <is>
          <t>Não se aplica</t>
        </is>
      </c>
      <c r="E143" s="349" t="n"/>
      <c r="F143" s="364" t="n"/>
      <c r="G143" s="364" t="n"/>
      <c r="H143" s="364" t="n"/>
      <c r="I143" s="364" t="n"/>
      <c r="J143" s="349" t="n"/>
      <c r="K143" s="349" t="n"/>
      <c r="L143" s="349" t="n"/>
      <c r="M143" s="349" t="n"/>
      <c r="N143" s="349" t="n"/>
      <c r="O143" s="349" t="n"/>
      <c r="P143" s="349" t="n"/>
      <c r="Q143" s="349" t="n"/>
      <c r="R143" s="349" t="n"/>
      <c r="S143" s="349" t="n"/>
    </row>
    <row r="144">
      <c r="A144" s="349" t="n"/>
      <c r="B144" s="349" t="n"/>
      <c r="C144" s="354" t="inlineStr">
        <is>
          <t>AQU</t>
        </is>
      </c>
      <c r="D144" s="354" t="inlineStr">
        <is>
          <t>Aquisição</t>
        </is>
      </c>
      <c r="E144" s="349" t="n"/>
      <c r="F144" s="364" t="n"/>
      <c r="G144" s="364" t="n"/>
      <c r="H144" s="364" t="n"/>
      <c r="I144" s="364" t="n"/>
      <c r="J144" s="349" t="n"/>
      <c r="K144" s="349" t="n"/>
      <c r="L144" s="349" t="n"/>
      <c r="M144" s="349" t="n"/>
      <c r="N144" s="349" t="n"/>
      <c r="O144" s="349" t="n"/>
      <c r="P144" s="349" t="n"/>
      <c r="Q144" s="349" t="n"/>
      <c r="R144" s="349" t="n"/>
      <c r="S144" s="349" t="n"/>
    </row>
    <row r="145">
      <c r="A145" s="349" t="n"/>
      <c r="B145" s="349" t="n"/>
      <c r="C145" s="354" t="inlineStr">
        <is>
          <t>OSW</t>
        </is>
      </c>
      <c r="D145" s="354" t="inlineStr">
        <is>
          <t>Gerência Organizacional de Software</t>
        </is>
      </c>
      <c r="E145" s="349" t="n"/>
      <c r="F145" s="364" t="n"/>
      <c r="G145" s="364" t="n"/>
      <c r="H145" s="364" t="n"/>
      <c r="I145" s="364" t="n"/>
      <c r="J145" s="349" t="n"/>
      <c r="K145" s="349" t="n"/>
      <c r="L145" s="349" t="n"/>
      <c r="M145" s="349" t="n"/>
      <c r="N145" s="349" t="n"/>
      <c r="O145" s="349" t="n"/>
      <c r="P145" s="349" t="n"/>
      <c r="Q145" s="349" t="n"/>
      <c r="R145" s="349" t="n"/>
      <c r="S145" s="349" t="n"/>
    </row>
    <row r="146">
      <c r="A146" s="349" t="n"/>
      <c r="B146" s="349" t="n"/>
      <c r="C146" s="349" t="n"/>
      <c r="D146" s="349" t="n"/>
      <c r="E146" s="349" t="n"/>
      <c r="F146" s="364" t="n"/>
      <c r="G146" s="364" t="n"/>
      <c r="H146" s="364" t="n"/>
      <c r="I146" s="364" t="n"/>
      <c r="J146" s="349" t="n"/>
      <c r="K146" s="349" t="n"/>
      <c r="L146" s="349" t="n"/>
      <c r="M146" s="349" t="n"/>
      <c r="N146" s="349" t="n"/>
      <c r="O146" s="349" t="n"/>
      <c r="P146" s="349" t="n"/>
      <c r="Q146" s="349" t="n"/>
      <c r="R146" s="349" t="n"/>
      <c r="S146" s="349" t="n"/>
    </row>
    <row r="147">
      <c r="A147" s="349" t="n"/>
      <c r="B147" s="349" t="n"/>
      <c r="C147" s="349" t="n"/>
      <c r="D147" s="349" t="n"/>
      <c r="E147" s="349" t="n"/>
      <c r="F147" s="364" t="n"/>
      <c r="G147" s="364" t="n"/>
      <c r="H147" s="364" t="n"/>
      <c r="I147" s="364" t="n"/>
      <c r="J147" s="349" t="n"/>
      <c r="K147" s="349" t="n"/>
      <c r="L147" s="349" t="n"/>
      <c r="M147" s="349" t="n"/>
      <c r="N147" s="349" t="n"/>
      <c r="O147" s="349" t="n"/>
      <c r="P147" s="349" t="n"/>
      <c r="Q147" s="349" t="n"/>
      <c r="R147" s="349" t="n"/>
      <c r="S147" s="349" t="n"/>
    </row>
    <row r="148">
      <c r="A148" s="349" t="n"/>
      <c r="B148" s="349" t="n"/>
      <c r="C148" s="349" t="n"/>
      <c r="D148" s="349" t="n"/>
      <c r="E148" s="349" t="n"/>
      <c r="F148" s="364" t="n"/>
      <c r="G148" s="364" t="n"/>
      <c r="H148" s="364" t="n"/>
      <c r="I148" s="364" t="n"/>
      <c r="J148" s="349" t="n"/>
      <c r="K148" s="349" t="n"/>
      <c r="L148" s="349" t="n"/>
      <c r="M148" s="349" t="n"/>
      <c r="N148" s="349" t="n"/>
      <c r="O148" s="349" t="n"/>
      <c r="P148" s="349" t="n"/>
      <c r="Q148" s="349" t="n"/>
      <c r="R148" s="349" t="n"/>
      <c r="S148" s="349" t="n"/>
    </row>
    <row r="149">
      <c r="A149" s="349" t="n"/>
      <c r="B149" s="349" t="n"/>
      <c r="C149" s="349" t="n"/>
      <c r="D149" s="349" t="n"/>
      <c r="E149" s="349" t="n"/>
      <c r="F149" s="364" t="n"/>
      <c r="G149" s="364" t="n"/>
      <c r="H149" s="364" t="n"/>
      <c r="I149" s="364" t="n"/>
      <c r="J149" s="349" t="n"/>
      <c r="K149" s="349" t="n"/>
      <c r="L149" s="349" t="n"/>
      <c r="M149" s="349" t="n"/>
      <c r="N149" s="349" t="n"/>
      <c r="O149" s="349" t="n"/>
      <c r="P149" s="349" t="n"/>
      <c r="Q149" s="349" t="n"/>
      <c r="R149" s="349" t="n"/>
      <c r="S149" s="349" t="n"/>
    </row>
    <row r="150">
      <c r="A150" s="349" t="n"/>
      <c r="B150" s="349" t="n"/>
      <c r="C150" s="349" t="n"/>
      <c r="D150" s="349" t="n"/>
      <c r="E150" s="349" t="n"/>
      <c r="F150" s="364" t="n"/>
      <c r="G150" s="364" t="n"/>
      <c r="H150" s="364" t="n"/>
      <c r="I150" s="364" t="n"/>
      <c r="J150" s="349" t="n"/>
      <c r="K150" s="349" t="n"/>
      <c r="L150" s="349" t="n"/>
      <c r="M150" s="349" t="n"/>
      <c r="N150" s="349" t="n"/>
      <c r="O150" s="349" t="n"/>
      <c r="P150" s="349" t="n"/>
      <c r="Q150" s="349" t="n"/>
      <c r="R150" s="349" t="n"/>
      <c r="S150" s="349" t="n"/>
    </row>
    <row r="151">
      <c r="A151" s="349" t="n"/>
      <c r="B151" s="349" t="n"/>
      <c r="C151" s="349" t="n"/>
      <c r="D151" s="349" t="n"/>
      <c r="E151" s="349" t="n"/>
      <c r="F151" s="364" t="n"/>
      <c r="G151" s="364" t="n"/>
      <c r="H151" s="364" t="n"/>
      <c r="I151" s="364" t="n"/>
      <c r="J151" s="349" t="n"/>
      <c r="K151" s="349" t="n"/>
      <c r="L151" s="349" t="n"/>
      <c r="M151" s="349" t="n"/>
      <c r="N151" s="349" t="n"/>
      <c r="O151" s="349" t="n"/>
      <c r="P151" s="349" t="n"/>
      <c r="Q151" s="349" t="n"/>
      <c r="R151" s="349" t="n"/>
      <c r="S151" s="349" t="n"/>
    </row>
    <row r="152">
      <c r="A152" s="349" t="n"/>
      <c r="B152" s="349" t="n"/>
      <c r="C152" s="349" t="n"/>
      <c r="D152" s="349" t="n"/>
      <c r="E152" s="349" t="n"/>
      <c r="F152" s="364" t="n"/>
      <c r="G152" s="364" t="n"/>
      <c r="H152" s="364" t="n"/>
      <c r="I152" s="364" t="n"/>
      <c r="J152" s="349" t="n"/>
      <c r="K152" s="349" t="n"/>
      <c r="L152" s="349" t="n"/>
      <c r="M152" s="349" t="n"/>
      <c r="N152" s="349" t="n"/>
      <c r="O152" s="349" t="n"/>
      <c r="P152" s="349" t="n"/>
      <c r="Q152" s="349" t="n"/>
      <c r="R152" s="349" t="n"/>
      <c r="S152" s="349" t="n"/>
    </row>
    <row r="153">
      <c r="A153" s="349" t="n"/>
      <c r="B153" s="349" t="n"/>
      <c r="C153" s="349" t="n"/>
      <c r="D153" s="349" t="n"/>
      <c r="E153" s="349" t="n"/>
      <c r="F153" s="364" t="n"/>
      <c r="G153" s="364" t="n"/>
      <c r="H153" s="364" t="n"/>
      <c r="I153" s="364" t="n"/>
      <c r="J153" s="349" t="n"/>
      <c r="K153" s="349" t="n"/>
      <c r="L153" s="349" t="n"/>
      <c r="M153" s="349" t="n"/>
      <c r="N153" s="349" t="n"/>
      <c r="O153" s="349" t="n"/>
      <c r="P153" s="349" t="n"/>
      <c r="Q153" s="349" t="n"/>
      <c r="R153" s="349" t="n"/>
      <c r="S153" s="349" t="n"/>
    </row>
    <row r="154">
      <c r="A154" s="349" t="n"/>
      <c r="B154" s="349" t="n"/>
      <c r="C154" s="349" t="n"/>
      <c r="D154" s="349" t="n"/>
      <c r="E154" s="349" t="n"/>
      <c r="F154" s="364" t="n"/>
      <c r="G154" s="364" t="n"/>
      <c r="H154" s="364" t="n"/>
      <c r="I154" s="364" t="n"/>
      <c r="J154" s="349" t="n"/>
      <c r="K154" s="349" t="n"/>
      <c r="L154" s="349" t="n"/>
      <c r="M154" s="349" t="n"/>
      <c r="N154" s="349" t="n"/>
      <c r="O154" s="349" t="n"/>
      <c r="P154" s="349" t="n"/>
      <c r="Q154" s="349" t="n"/>
      <c r="R154" s="349" t="n"/>
      <c r="S154" s="349" t="n"/>
    </row>
    <row r="155">
      <c r="A155" s="349" t="n"/>
      <c r="B155" s="349" t="n"/>
      <c r="C155" s="349" t="n"/>
      <c r="D155" s="349" t="n"/>
      <c r="E155" s="349" t="n"/>
      <c r="F155" s="364" t="n"/>
      <c r="G155" s="364" t="n"/>
      <c r="H155" s="364" t="n"/>
      <c r="I155" s="364" t="n"/>
      <c r="J155" s="349" t="n"/>
      <c r="K155" s="349" t="n"/>
      <c r="L155" s="349" t="n"/>
      <c r="M155" s="349" t="n"/>
      <c r="N155" s="349" t="n"/>
      <c r="O155" s="349" t="n"/>
      <c r="P155" s="349" t="n"/>
      <c r="Q155" s="349" t="n"/>
      <c r="R155" s="349" t="n"/>
      <c r="S155" s="349" t="n"/>
    </row>
    <row r="156">
      <c r="A156" s="349" t="n"/>
      <c r="B156" s="349" t="n"/>
      <c r="C156" s="349" t="n"/>
      <c r="D156" s="349" t="n"/>
      <c r="E156" s="349" t="n"/>
      <c r="F156" s="364" t="n"/>
      <c r="G156" s="364" t="n"/>
      <c r="H156" s="364" t="n"/>
      <c r="I156" s="364" t="n"/>
      <c r="J156" s="349" t="n"/>
      <c r="K156" s="349" t="n"/>
      <c r="L156" s="349" t="n"/>
      <c r="M156" s="349" t="n"/>
      <c r="N156" s="349" t="n"/>
      <c r="O156" s="349" t="n"/>
      <c r="P156" s="349" t="n"/>
      <c r="Q156" s="349" t="n"/>
      <c r="R156" s="349" t="n"/>
      <c r="S156" s="349" t="n"/>
    </row>
    <row r="157">
      <c r="A157" s="349" t="n"/>
      <c r="B157" s="349" t="n"/>
      <c r="C157" s="349" t="n"/>
      <c r="D157" s="349" t="n"/>
      <c r="E157" s="349" t="n"/>
      <c r="F157" s="364" t="n"/>
      <c r="G157" s="364" t="n"/>
      <c r="H157" s="364" t="n"/>
      <c r="I157" s="364" t="n"/>
      <c r="J157" s="349" t="n"/>
      <c r="K157" s="349" t="n"/>
      <c r="L157" s="349" t="n"/>
      <c r="M157" s="349" t="n"/>
      <c r="N157" s="349" t="n"/>
      <c r="O157" s="349" t="n"/>
      <c r="P157" s="349" t="n"/>
      <c r="Q157" s="349" t="n"/>
      <c r="R157" s="349" t="n"/>
      <c r="S157" s="349" t="n"/>
    </row>
    <row r="158">
      <c r="A158" s="349" t="n"/>
      <c r="B158" s="349" t="n"/>
      <c r="C158" s="349" t="n"/>
      <c r="D158" s="349" t="n"/>
      <c r="E158" s="349" t="n"/>
      <c r="F158" s="364" t="n"/>
      <c r="G158" s="364" t="n"/>
      <c r="H158" s="364" t="n"/>
      <c r="I158" s="364" t="n"/>
      <c r="J158" s="349" t="n"/>
      <c r="K158" s="349" t="n"/>
      <c r="L158" s="349" t="n"/>
      <c r="M158" s="349" t="n"/>
      <c r="N158" s="349" t="n"/>
      <c r="O158" s="349" t="n"/>
      <c r="P158" s="349" t="n"/>
      <c r="Q158" s="349" t="n"/>
      <c r="R158" s="349" t="n"/>
      <c r="S158" s="349" t="n"/>
    </row>
    <row r="159">
      <c r="A159" s="349" t="n"/>
      <c r="B159" s="349" t="n"/>
      <c r="C159" s="349" t="n"/>
      <c r="D159" s="349" t="n"/>
      <c r="E159" s="349" t="n"/>
      <c r="F159" s="364" t="n"/>
      <c r="G159" s="364" t="n"/>
      <c r="H159" s="364" t="n"/>
      <c r="I159" s="364" t="n"/>
      <c r="J159" s="349" t="n"/>
      <c r="K159" s="349" t="n"/>
      <c r="L159" s="349" t="n"/>
      <c r="M159" s="349" t="n"/>
      <c r="N159" s="349" t="n"/>
      <c r="O159" s="349" t="n"/>
      <c r="P159" s="349" t="n"/>
      <c r="Q159" s="349" t="n"/>
      <c r="R159" s="349" t="n"/>
      <c r="S159" s="349" t="n"/>
    </row>
    <row r="160">
      <c r="A160" s="349" t="n"/>
      <c r="B160" s="349" t="n"/>
      <c r="C160" s="349" t="n"/>
      <c r="D160" s="349" t="n"/>
      <c r="E160" s="349" t="n"/>
      <c r="F160" s="364" t="n"/>
      <c r="G160" s="364" t="n"/>
      <c r="H160" s="364" t="n"/>
      <c r="I160" s="364" t="n"/>
      <c r="J160" s="349" t="n"/>
      <c r="K160" s="349" t="n"/>
      <c r="L160" s="349" t="n"/>
      <c r="M160" s="349" t="n"/>
      <c r="N160" s="349" t="n"/>
      <c r="O160" s="349" t="n"/>
      <c r="P160" s="349" t="n"/>
      <c r="Q160" s="349" t="n"/>
      <c r="R160" s="349" t="n"/>
      <c r="S160" s="349" t="n"/>
    </row>
    <row r="161">
      <c r="A161" s="349" t="n"/>
      <c r="B161" s="349" t="n"/>
      <c r="C161" s="349" t="n"/>
      <c r="D161" s="349" t="n"/>
      <c r="E161" s="349" t="n"/>
      <c r="F161" s="364" t="n"/>
      <c r="G161" s="364" t="n"/>
      <c r="H161" s="364" t="n"/>
      <c r="I161" s="364" t="n"/>
      <c r="J161" s="349" t="n"/>
      <c r="K161" s="349" t="n"/>
      <c r="L161" s="349" t="n"/>
      <c r="M161" s="349" t="n"/>
      <c r="N161" s="349" t="n"/>
      <c r="O161" s="349" t="n"/>
      <c r="P161" s="349" t="n"/>
      <c r="Q161" s="349" t="n"/>
      <c r="R161" s="349" t="n"/>
      <c r="S161" s="349" t="n"/>
    </row>
    <row r="162">
      <c r="A162" s="349" t="n"/>
      <c r="B162" s="349" t="n"/>
      <c r="C162" s="349" t="n"/>
      <c r="D162" s="349" t="n"/>
      <c r="E162" s="349" t="n"/>
      <c r="F162" s="364" t="n"/>
      <c r="G162" s="364" t="n"/>
      <c r="H162" s="364" t="n"/>
      <c r="I162" s="364" t="n"/>
      <c r="J162" s="349" t="n"/>
      <c r="K162" s="349" t="n"/>
      <c r="L162" s="349" t="n"/>
      <c r="M162" s="349" t="n"/>
      <c r="N162" s="349" t="n"/>
      <c r="O162" s="349" t="n"/>
      <c r="P162" s="349" t="n"/>
      <c r="Q162" s="349" t="n"/>
      <c r="R162" s="349" t="n"/>
      <c r="S162" s="349" t="n"/>
    </row>
    <row r="163">
      <c r="A163" s="349" t="n"/>
      <c r="B163" s="349" t="n"/>
      <c r="C163" s="349" t="n"/>
      <c r="D163" s="349" t="n"/>
      <c r="E163" s="349" t="n"/>
      <c r="F163" s="364" t="n"/>
      <c r="G163" s="364" t="n"/>
      <c r="H163" s="364" t="n"/>
      <c r="I163" s="364" t="n"/>
      <c r="J163" s="349" t="n"/>
      <c r="K163" s="349" t="n"/>
      <c r="L163" s="349" t="n"/>
      <c r="M163" s="349" t="n"/>
      <c r="N163" s="349" t="n"/>
      <c r="O163" s="349" t="n"/>
      <c r="P163" s="349" t="n"/>
      <c r="Q163" s="349" t="n"/>
      <c r="R163" s="349" t="n"/>
      <c r="S163" s="349" t="n"/>
    </row>
    <row r="164">
      <c r="A164" s="349" t="n"/>
      <c r="B164" s="349" t="n"/>
      <c r="C164" s="349" t="n"/>
      <c r="D164" s="349" t="n"/>
      <c r="E164" s="349" t="n"/>
      <c r="F164" s="364" t="n"/>
      <c r="G164" s="364" t="n"/>
      <c r="H164" s="364" t="n"/>
      <c r="I164" s="364" t="n"/>
      <c r="J164" s="349" t="n"/>
      <c r="K164" s="349" t="n"/>
      <c r="L164" s="349" t="n"/>
      <c r="M164" s="349" t="n"/>
      <c r="N164" s="349" t="n"/>
      <c r="O164" s="349" t="n"/>
      <c r="P164" s="349" t="n"/>
      <c r="Q164" s="349" t="n"/>
      <c r="R164" s="349" t="n"/>
      <c r="S164" s="349" t="n"/>
    </row>
    <row r="165">
      <c r="A165" s="349" t="n"/>
      <c r="B165" s="349" t="n"/>
      <c r="C165" s="349" t="n"/>
      <c r="D165" s="349" t="n"/>
      <c r="E165" s="349" t="n"/>
      <c r="F165" s="364" t="n"/>
      <c r="G165" s="364" t="n"/>
      <c r="H165" s="364" t="n"/>
      <c r="I165" s="364" t="n"/>
      <c r="J165" s="349" t="n"/>
      <c r="K165" s="349" t="n"/>
      <c r="L165" s="349" t="n"/>
      <c r="M165" s="349" t="n"/>
      <c r="N165" s="349" t="n"/>
      <c r="O165" s="349" t="n"/>
      <c r="P165" s="349" t="n"/>
      <c r="Q165" s="349" t="n"/>
      <c r="R165" s="349" t="n"/>
      <c r="S165" s="349" t="n"/>
    </row>
    <row r="166">
      <c r="A166" s="349" t="n"/>
      <c r="B166" s="349" t="n"/>
      <c r="C166" s="349" t="n"/>
      <c r="D166" s="349" t="n"/>
      <c r="E166" s="349" t="n"/>
      <c r="F166" s="364" t="n"/>
      <c r="G166" s="364" t="n"/>
      <c r="H166" s="364" t="n"/>
      <c r="I166" s="364" t="n"/>
      <c r="J166" s="349" t="n"/>
      <c r="K166" s="349" t="n"/>
      <c r="L166" s="349" t="n"/>
      <c r="M166" s="349" t="n"/>
      <c r="N166" s="349" t="n"/>
      <c r="O166" s="349" t="n"/>
      <c r="P166" s="349" t="n"/>
      <c r="Q166" s="349" t="n"/>
      <c r="R166" s="349" t="n"/>
      <c r="S166" s="349" t="n"/>
    </row>
    <row r="167">
      <c r="A167" s="349" t="n"/>
      <c r="B167" s="349" t="n"/>
      <c r="C167" s="349" t="n"/>
      <c r="D167" s="349" t="n"/>
      <c r="E167" s="349" t="n"/>
      <c r="F167" s="364" t="n"/>
      <c r="G167" s="364" t="n"/>
      <c r="H167" s="364" t="n"/>
      <c r="I167" s="364" t="n"/>
      <c r="J167" s="349" t="n"/>
      <c r="K167" s="349" t="n"/>
      <c r="L167" s="349" t="n"/>
      <c r="M167" s="349" t="n"/>
      <c r="N167" s="349" t="n"/>
      <c r="O167" s="349" t="n"/>
      <c r="P167" s="349" t="n"/>
      <c r="Q167" s="349" t="n"/>
      <c r="R167" s="349" t="n"/>
      <c r="S167" s="349" t="n"/>
    </row>
    <row r="168">
      <c r="A168" s="349" t="n"/>
      <c r="B168" s="349" t="n"/>
      <c r="C168" s="349" t="n"/>
      <c r="D168" s="349" t="n"/>
      <c r="E168" s="349" t="n"/>
      <c r="F168" s="364" t="n"/>
      <c r="G168" s="364" t="n"/>
      <c r="H168" s="364" t="n"/>
      <c r="I168" s="364" t="n"/>
      <c r="J168" s="349" t="n"/>
      <c r="K168" s="349" t="n"/>
      <c r="L168" s="349" t="n"/>
      <c r="M168" s="349" t="n"/>
      <c r="N168" s="349" t="n"/>
      <c r="O168" s="349" t="n"/>
      <c r="P168" s="349" t="n"/>
      <c r="Q168" s="349" t="n"/>
      <c r="R168" s="349" t="n"/>
      <c r="S168" s="349" t="n"/>
    </row>
    <row r="169">
      <c r="A169" s="349" t="n"/>
      <c r="B169" s="349" t="n"/>
      <c r="C169" s="349" t="n"/>
      <c r="D169" s="349" t="n"/>
      <c r="E169" s="349" t="n"/>
      <c r="F169" s="364" t="n"/>
      <c r="G169" s="364" t="n"/>
      <c r="H169" s="364" t="n"/>
      <c r="I169" s="364" t="n"/>
      <c r="J169" s="349" t="n"/>
      <c r="K169" s="349" t="n"/>
      <c r="L169" s="349" t="n"/>
      <c r="M169" s="349" t="n"/>
      <c r="N169" s="349" t="n"/>
      <c r="O169" s="349" t="n"/>
      <c r="P169" s="349" t="n"/>
      <c r="Q169" s="349" t="n"/>
      <c r="R169" s="349" t="n"/>
      <c r="S169" s="349" t="n"/>
    </row>
    <row r="170">
      <c r="A170" s="349" t="n"/>
      <c r="B170" s="349" t="n"/>
      <c r="C170" s="349" t="n"/>
      <c r="D170" s="349" t="n"/>
      <c r="E170" s="349" t="n"/>
      <c r="F170" s="364" t="n"/>
      <c r="G170" s="364" t="n"/>
      <c r="H170" s="364" t="n"/>
      <c r="I170" s="364" t="n"/>
      <c r="J170" s="349" t="n"/>
      <c r="K170" s="349" t="n"/>
      <c r="L170" s="349" t="n"/>
      <c r="M170" s="349" t="n"/>
      <c r="N170" s="349" t="n"/>
      <c r="O170" s="349" t="n"/>
      <c r="P170" s="349" t="n"/>
      <c r="Q170" s="349" t="n"/>
      <c r="R170" s="349" t="n"/>
      <c r="S170" s="349" t="n"/>
    </row>
    <row r="171">
      <c r="A171" s="349" t="n"/>
      <c r="B171" s="349" t="n"/>
      <c r="C171" s="349" t="n"/>
      <c r="D171" s="349" t="n"/>
      <c r="E171" s="349" t="n"/>
      <c r="F171" s="364" t="n"/>
      <c r="G171" s="364" t="n"/>
      <c r="H171" s="364" t="n"/>
      <c r="I171" s="364" t="n"/>
      <c r="J171" s="349" t="n"/>
      <c r="K171" s="349" t="n"/>
      <c r="L171" s="349" t="n"/>
      <c r="M171" s="349" t="n"/>
      <c r="N171" s="349" t="n"/>
      <c r="O171" s="349" t="n"/>
      <c r="P171" s="349" t="n"/>
      <c r="Q171" s="349" t="n"/>
      <c r="R171" s="349" t="n"/>
      <c r="S171" s="349" t="n"/>
    </row>
    <row r="172">
      <c r="A172" s="349" t="n"/>
      <c r="B172" s="349" t="n"/>
      <c r="C172" s="349" t="n"/>
      <c r="D172" s="349" t="n"/>
      <c r="E172" s="349" t="n"/>
      <c r="F172" s="364" t="n"/>
      <c r="G172" s="364" t="n"/>
      <c r="H172" s="364" t="n"/>
      <c r="I172" s="364" t="n"/>
      <c r="J172" s="349" t="n"/>
      <c r="K172" s="349" t="n"/>
      <c r="L172" s="349" t="n"/>
      <c r="M172" s="349" t="n"/>
      <c r="N172" s="349" t="n"/>
      <c r="O172" s="349" t="n"/>
      <c r="P172" s="349" t="n"/>
      <c r="Q172" s="349" t="n"/>
      <c r="R172" s="349" t="n"/>
      <c r="S172" s="349" t="n"/>
    </row>
    <row r="173">
      <c r="A173" s="349" t="n"/>
      <c r="B173" s="349" t="n"/>
      <c r="C173" s="349" t="n"/>
      <c r="D173" s="349" t="n"/>
      <c r="E173" s="349" t="n"/>
      <c r="F173" s="364" t="n"/>
      <c r="G173" s="364" t="n"/>
      <c r="H173" s="364" t="n"/>
      <c r="I173" s="364" t="n"/>
      <c r="J173" s="349" t="n"/>
      <c r="K173" s="349" t="n"/>
      <c r="L173" s="349" t="n"/>
      <c r="M173" s="349" t="n"/>
      <c r="N173" s="349" t="n"/>
      <c r="O173" s="349" t="n"/>
      <c r="P173" s="349" t="n"/>
      <c r="Q173" s="349" t="n"/>
      <c r="R173" s="349" t="n"/>
      <c r="S173" s="349" t="n"/>
    </row>
    <row r="174">
      <c r="A174" s="349" t="n"/>
      <c r="B174" s="349" t="n"/>
      <c r="C174" s="349" t="n"/>
      <c r="D174" s="349" t="n"/>
      <c r="E174" s="349" t="n"/>
      <c r="F174" s="364" t="n"/>
      <c r="G174" s="364" t="n"/>
      <c r="H174" s="364" t="n"/>
      <c r="I174" s="364" t="n"/>
      <c r="J174" s="349" t="n"/>
      <c r="K174" s="349" t="n"/>
      <c r="L174" s="349" t="n"/>
      <c r="M174" s="349" t="n"/>
      <c r="N174" s="349" t="n"/>
      <c r="O174" s="349" t="n"/>
      <c r="P174" s="349" t="n"/>
      <c r="Q174" s="349" t="n"/>
      <c r="R174" s="349" t="n"/>
      <c r="S174" s="349" t="n"/>
    </row>
    <row r="175">
      <c r="A175" s="349" t="n"/>
      <c r="B175" s="349" t="n"/>
      <c r="C175" s="349" t="n"/>
      <c r="D175" s="349" t="n"/>
      <c r="E175" s="349" t="n"/>
      <c r="F175" s="364" t="n"/>
      <c r="G175" s="364" t="n"/>
      <c r="H175" s="364" t="n"/>
      <c r="I175" s="364" t="n"/>
      <c r="J175" s="349" t="n"/>
      <c r="K175" s="349" t="n"/>
      <c r="L175" s="349" t="n"/>
      <c r="M175" s="349" t="n"/>
      <c r="N175" s="349" t="n"/>
      <c r="O175" s="349" t="n"/>
      <c r="P175" s="349" t="n"/>
      <c r="Q175" s="349" t="n"/>
      <c r="R175" s="349" t="n"/>
      <c r="S175" s="349" t="n"/>
    </row>
    <row r="176">
      <c r="A176" s="349" t="n"/>
      <c r="B176" s="349" t="n"/>
      <c r="C176" s="349" t="n"/>
      <c r="D176" s="349" t="n"/>
      <c r="E176" s="349" t="n"/>
      <c r="F176" s="364" t="n"/>
      <c r="G176" s="364" t="n"/>
      <c r="H176" s="364" t="n"/>
      <c r="I176" s="364" t="n"/>
      <c r="J176" s="349" t="n"/>
      <c r="K176" s="349" t="n"/>
      <c r="L176" s="349" t="n"/>
      <c r="M176" s="349" t="n"/>
      <c r="N176" s="349" t="n"/>
      <c r="O176" s="349" t="n"/>
      <c r="P176" s="349" t="n"/>
      <c r="Q176" s="349" t="n"/>
      <c r="R176" s="349" t="n"/>
      <c r="S176" s="349" t="n"/>
    </row>
    <row r="177">
      <c r="A177" s="349" t="n"/>
      <c r="B177" s="349" t="n"/>
      <c r="C177" s="349" t="n"/>
      <c r="D177" s="349" t="n"/>
      <c r="E177" s="349" t="n"/>
      <c r="F177" s="364" t="n"/>
      <c r="G177" s="364" t="n"/>
      <c r="H177" s="364" t="n"/>
      <c r="I177" s="364" t="n"/>
      <c r="J177" s="349" t="n"/>
      <c r="K177" s="349" t="n"/>
      <c r="L177" s="349" t="n"/>
      <c r="M177" s="349" t="n"/>
      <c r="N177" s="349" t="n"/>
      <c r="O177" s="349" t="n"/>
      <c r="P177" s="349" t="n"/>
      <c r="Q177" s="349" t="n"/>
      <c r="R177" s="349" t="n"/>
      <c r="S177" s="349" t="n"/>
    </row>
    <row r="178">
      <c r="A178" s="349" t="n"/>
      <c r="B178" s="349" t="n"/>
      <c r="C178" s="349" t="n"/>
      <c r="D178" s="349" t="n"/>
      <c r="E178" s="349" t="n"/>
      <c r="F178" s="349" t="n"/>
      <c r="G178" s="349" t="n"/>
      <c r="H178" s="349" t="n"/>
      <c r="I178" s="349" t="n"/>
      <c r="J178" s="349" t="n"/>
      <c r="K178" s="349" t="n"/>
      <c r="L178" s="349" t="n"/>
      <c r="M178" s="349" t="n"/>
      <c r="N178" s="349" t="n"/>
      <c r="O178" s="349" t="n"/>
      <c r="P178" s="349" t="n"/>
      <c r="Q178" s="349" t="n"/>
      <c r="R178" s="349" t="n"/>
      <c r="S178" s="349" t="n"/>
    </row>
    <row r="179">
      <c r="A179" s="349" t="n"/>
      <c r="B179" s="349" t="n"/>
      <c r="C179" s="349" t="n"/>
      <c r="D179" s="349" t="n"/>
      <c r="E179" s="349" t="n"/>
      <c r="F179" s="349" t="n"/>
      <c r="G179" s="349" t="n"/>
      <c r="H179" s="349" t="n"/>
      <c r="I179" s="349" t="n"/>
      <c r="J179" s="349" t="n"/>
      <c r="K179" s="349" t="n"/>
      <c r="L179" s="349" t="n"/>
      <c r="M179" s="349" t="n"/>
      <c r="N179" s="349" t="n"/>
      <c r="O179" s="349" t="n"/>
      <c r="P179" s="349" t="n"/>
      <c r="Q179" s="349" t="n"/>
      <c r="R179" s="349" t="n"/>
      <c r="S179" s="349" t="n"/>
    </row>
    <row r="180">
      <c r="A180" s="349" t="n"/>
      <c r="B180" s="349" t="n"/>
      <c r="C180" s="349" t="n"/>
      <c r="D180" s="349" t="n"/>
      <c r="E180" s="349" t="n"/>
      <c r="F180" s="349" t="n"/>
      <c r="G180" s="349" t="n"/>
      <c r="H180" s="349" t="n"/>
      <c r="I180" s="349" t="n"/>
      <c r="J180" s="349" t="n"/>
      <c r="K180" s="349" t="n"/>
      <c r="L180" s="349" t="n"/>
      <c r="M180" s="349" t="n"/>
      <c r="N180" s="349" t="n"/>
      <c r="O180" s="349" t="n"/>
      <c r="P180" s="349" t="n"/>
      <c r="Q180" s="349" t="n"/>
      <c r="R180" s="349" t="n"/>
      <c r="S180" s="349" t="n"/>
    </row>
    <row r="181">
      <c r="A181" s="349" t="n"/>
      <c r="B181" s="349" t="n"/>
      <c r="C181" s="349" t="n"/>
      <c r="D181" s="349" t="n"/>
      <c r="E181" s="349" t="n"/>
      <c r="F181" s="349" t="n"/>
      <c r="G181" s="349" t="n"/>
      <c r="H181" s="349" t="n"/>
      <c r="I181" s="349" t="n"/>
      <c r="J181" s="349" t="n"/>
      <c r="K181" s="349" t="n"/>
      <c r="L181" s="349" t="n"/>
      <c r="M181" s="349" t="n"/>
      <c r="N181" s="349" t="n"/>
      <c r="O181" s="349" t="n"/>
      <c r="P181" s="349" t="n"/>
      <c r="Q181" s="349" t="n"/>
      <c r="R181" s="349" t="n"/>
      <c r="S181" s="349" t="n"/>
    </row>
    <row r="182">
      <c r="A182" s="349" t="n"/>
      <c r="B182" s="349" t="n"/>
      <c r="C182" s="349" t="n"/>
      <c r="D182" s="349" t="n"/>
      <c r="E182" s="349" t="n"/>
      <c r="F182" s="349" t="n"/>
      <c r="G182" s="349" t="n"/>
      <c r="H182" s="349" t="n"/>
      <c r="I182" s="349" t="n"/>
      <c r="J182" s="349" t="n"/>
      <c r="K182" s="349" t="n"/>
      <c r="L182" s="349" t="n"/>
      <c r="M182" s="349" t="n"/>
      <c r="N182" s="349" t="n"/>
      <c r="O182" s="349" t="n"/>
      <c r="P182" s="349" t="n"/>
      <c r="Q182" s="349" t="n"/>
      <c r="R182" s="349" t="n"/>
      <c r="S182" s="349" t="n"/>
    </row>
    <row r="183">
      <c r="A183" s="349" t="n"/>
      <c r="B183" s="349" t="n"/>
      <c r="C183" s="349" t="n"/>
      <c r="D183" s="349" t="n"/>
      <c r="E183" s="349" t="n"/>
      <c r="F183" s="349" t="n"/>
      <c r="G183" s="349" t="n"/>
      <c r="H183" s="349" t="n"/>
      <c r="I183" s="349" t="n"/>
      <c r="J183" s="349" t="n"/>
      <c r="K183" s="349" t="n"/>
      <c r="L183" s="349" t="n"/>
      <c r="M183" s="349" t="n"/>
      <c r="N183" s="349" t="n"/>
      <c r="O183" s="349" t="n"/>
      <c r="P183" s="349" t="n"/>
      <c r="Q183" s="349" t="n"/>
      <c r="R183" s="349" t="n"/>
      <c r="S183" s="349" t="n"/>
    </row>
    <row r="184">
      <c r="A184" s="349" t="n"/>
      <c r="B184" s="349" t="n"/>
      <c r="C184" s="349" t="n"/>
      <c r="D184" s="349" t="n"/>
      <c r="E184" s="349" t="n"/>
      <c r="F184" s="349" t="n"/>
      <c r="G184" s="349" t="n"/>
      <c r="H184" s="349" t="n"/>
      <c r="I184" s="349" t="n"/>
      <c r="J184" s="349" t="n"/>
      <c r="K184" s="349" t="n"/>
      <c r="L184" s="349" t="n"/>
      <c r="M184" s="349" t="n"/>
      <c r="N184" s="349" t="n"/>
      <c r="O184" s="349" t="n"/>
      <c r="P184" s="349" t="n"/>
      <c r="Q184" s="349" t="n"/>
      <c r="R184" s="349" t="n"/>
      <c r="S184" s="349" t="n"/>
    </row>
    <row r="185">
      <c r="A185" s="349" t="n"/>
      <c r="B185" s="349" t="n"/>
      <c r="C185" s="349" t="n"/>
      <c r="D185" s="349" t="n"/>
      <c r="E185" s="349" t="n"/>
      <c r="F185" s="349" t="n"/>
      <c r="G185" s="349" t="n"/>
      <c r="H185" s="349" t="n"/>
      <c r="I185" s="349" t="n"/>
      <c r="J185" s="349" t="n"/>
      <c r="K185" s="349" t="n"/>
      <c r="L185" s="349" t="n"/>
      <c r="M185" s="349" t="n"/>
      <c r="N185" s="349" t="n"/>
      <c r="O185" s="349" t="n"/>
      <c r="P185" s="349" t="n"/>
      <c r="Q185" s="349" t="n"/>
      <c r="R185" s="349" t="n"/>
      <c r="S185" s="349" t="n"/>
    </row>
    <row r="186">
      <c r="A186" s="349" t="n"/>
      <c r="B186" s="349" t="n"/>
      <c r="C186" s="349" t="n"/>
      <c r="D186" s="349" t="n"/>
      <c r="E186" s="349" t="n"/>
      <c r="F186" s="349" t="n"/>
      <c r="G186" s="349" t="n"/>
      <c r="H186" s="349" t="n"/>
      <c r="I186" s="349" t="n"/>
      <c r="J186" s="349" t="n"/>
      <c r="K186" s="349" t="n"/>
      <c r="L186" s="349" t="n"/>
      <c r="M186" s="349" t="n"/>
      <c r="N186" s="349" t="n"/>
      <c r="O186" s="349" t="n"/>
      <c r="P186" s="349" t="n"/>
      <c r="Q186" s="349" t="n"/>
      <c r="R186" s="349" t="n"/>
      <c r="S186" s="349" t="n"/>
    </row>
    <row r="187">
      <c r="A187" s="349" t="n"/>
      <c r="B187" s="349" t="n"/>
      <c r="C187" s="349" t="n"/>
      <c r="D187" s="349" t="n"/>
      <c r="E187" s="349" t="n"/>
      <c r="F187" s="349" t="n"/>
      <c r="G187" s="349" t="n"/>
      <c r="H187" s="349" t="n"/>
      <c r="I187" s="349" t="n"/>
      <c r="J187" s="349" t="n"/>
      <c r="K187" s="349" t="n"/>
      <c r="L187" s="349" t="n"/>
      <c r="M187" s="349" t="n"/>
      <c r="N187" s="349" t="n"/>
      <c r="O187" s="349" t="n"/>
      <c r="P187" s="349" t="n"/>
      <c r="Q187" s="349" t="n"/>
      <c r="R187" s="349" t="n"/>
      <c r="S187" s="349" t="n"/>
    </row>
    <row r="188">
      <c r="A188" s="349" t="n"/>
      <c r="B188" s="349" t="n"/>
      <c r="C188" s="349" t="n"/>
      <c r="D188" s="349" t="n"/>
      <c r="E188" s="349" t="n"/>
      <c r="F188" s="349" t="n"/>
      <c r="G188" s="349" t="n"/>
      <c r="H188" s="349" t="n"/>
      <c r="I188" s="349" t="n"/>
      <c r="J188" s="349" t="n"/>
      <c r="K188" s="349" t="n"/>
      <c r="L188" s="349" t="n"/>
      <c r="M188" s="349" t="n"/>
      <c r="N188" s="349" t="n"/>
      <c r="O188" s="349" t="n"/>
      <c r="P188" s="349" t="n"/>
      <c r="Q188" s="349" t="n"/>
      <c r="R188" s="349" t="n"/>
      <c r="S188" s="349" t="n"/>
    </row>
    <row r="189">
      <c r="A189" s="349" t="n"/>
      <c r="B189" s="349" t="n"/>
      <c r="C189" s="349" t="n"/>
      <c r="D189" s="349" t="n"/>
      <c r="E189" s="349" t="n"/>
      <c r="F189" s="349" t="n"/>
      <c r="G189" s="349" t="n"/>
      <c r="H189" s="349" t="n"/>
      <c r="I189" s="349" t="n"/>
      <c r="J189" s="349" t="n"/>
      <c r="K189" s="349" t="n"/>
      <c r="L189" s="349" t="n"/>
      <c r="M189" s="349" t="n"/>
      <c r="N189" s="349" t="n"/>
      <c r="O189" s="349" t="n"/>
      <c r="P189" s="349" t="n"/>
      <c r="Q189" s="349" t="n"/>
      <c r="R189" s="349" t="n"/>
      <c r="S189" s="349" t="n"/>
    </row>
    <row r="190">
      <c r="A190" s="349" t="n"/>
      <c r="B190" s="349" t="n"/>
      <c r="C190" s="349" t="n"/>
      <c r="D190" s="349" t="n"/>
      <c r="E190" s="349" t="n"/>
      <c r="F190" s="349" t="n"/>
      <c r="G190" s="349" t="n"/>
      <c r="H190" s="349" t="n"/>
      <c r="I190" s="349" t="n"/>
      <c r="J190" s="349" t="n"/>
      <c r="K190" s="349" t="n"/>
      <c r="L190" s="349" t="n"/>
      <c r="M190" s="349" t="n"/>
      <c r="N190" s="349" t="n"/>
      <c r="O190" s="349" t="n"/>
      <c r="P190" s="349" t="n"/>
      <c r="Q190" s="349" t="n"/>
      <c r="R190" s="349" t="n"/>
      <c r="S190" s="349" t="n"/>
    </row>
    <row r="191">
      <c r="A191" s="349" t="n"/>
      <c r="B191" s="349" t="n"/>
      <c r="C191" s="349" t="n"/>
      <c r="D191" s="349" t="n"/>
      <c r="E191" s="349" t="n"/>
      <c r="F191" s="349" t="n"/>
      <c r="G191" s="349" t="n"/>
      <c r="H191" s="349" t="n"/>
      <c r="I191" s="349" t="n"/>
      <c r="J191" s="349" t="n"/>
      <c r="K191" s="349" t="n"/>
      <c r="L191" s="349" t="n"/>
      <c r="M191" s="349" t="n"/>
      <c r="N191" s="349" t="n"/>
      <c r="O191" s="349" t="n"/>
      <c r="P191" s="349" t="n"/>
      <c r="Q191" s="349" t="n"/>
      <c r="R191" s="349" t="n"/>
      <c r="S191" s="349" t="n"/>
    </row>
    <row r="192">
      <c r="A192" s="349" t="n"/>
      <c r="B192" s="349" t="n"/>
      <c r="C192" s="349" t="n"/>
      <c r="D192" s="349" t="n"/>
      <c r="E192" s="349" t="n"/>
      <c r="F192" s="349" t="n"/>
      <c r="G192" s="349" t="n"/>
      <c r="H192" s="349" t="n"/>
      <c r="I192" s="349" t="n"/>
      <c r="J192" s="349" t="n"/>
      <c r="K192" s="349" t="n"/>
      <c r="L192" s="349" t="n"/>
      <c r="M192" s="349" t="n"/>
      <c r="N192" s="349" t="n"/>
      <c r="O192" s="349" t="n"/>
      <c r="P192" s="349" t="n"/>
      <c r="Q192" s="349" t="n"/>
      <c r="R192" s="349" t="n"/>
      <c r="S192" s="349" t="n"/>
    </row>
    <row r="193">
      <c r="A193" s="349" t="n"/>
      <c r="B193" s="349" t="n"/>
      <c r="C193" s="349" t="n"/>
      <c r="D193" s="349" t="n"/>
      <c r="E193" s="349" t="n"/>
      <c r="F193" s="349" t="n"/>
      <c r="G193" s="349" t="n"/>
      <c r="H193" s="349" t="n"/>
      <c r="I193" s="349" t="n"/>
      <c r="J193" s="349" t="n"/>
      <c r="K193" s="349" t="n"/>
      <c r="L193" s="349" t="n"/>
      <c r="M193" s="349" t="n"/>
      <c r="N193" s="349" t="n"/>
      <c r="O193" s="349" t="n"/>
      <c r="P193" s="349" t="n"/>
      <c r="Q193" s="349" t="n"/>
      <c r="R193" s="349" t="n"/>
      <c r="S193" s="349" t="n"/>
    </row>
    <row r="194">
      <c r="A194" s="349" t="n"/>
      <c r="B194" s="349" t="n"/>
      <c r="C194" s="349" t="n"/>
      <c r="D194" s="349" t="n"/>
      <c r="E194" s="349" t="n"/>
      <c r="F194" s="349" t="n"/>
      <c r="G194" s="349" t="n"/>
      <c r="H194" s="349" t="n"/>
      <c r="I194" s="349" t="n"/>
      <c r="J194" s="349" t="n"/>
      <c r="K194" s="349" t="n"/>
      <c r="L194" s="349" t="n"/>
      <c r="M194" s="349" t="n"/>
      <c r="N194" s="349" t="n"/>
      <c r="O194" s="349" t="n"/>
      <c r="P194" s="349" t="n"/>
      <c r="Q194" s="349" t="n"/>
      <c r="R194" s="349" t="n"/>
      <c r="S194" s="349" t="n"/>
    </row>
    <row r="195">
      <c r="A195" s="349" t="n"/>
      <c r="B195" s="349" t="n"/>
      <c r="C195" s="349" t="n"/>
      <c r="D195" s="349" t="n"/>
      <c r="E195" s="349" t="n"/>
      <c r="F195" s="349" t="n"/>
      <c r="G195" s="349" t="n"/>
      <c r="H195" s="349" t="n"/>
      <c r="I195" s="349" t="n"/>
      <c r="J195" s="349" t="n"/>
      <c r="K195" s="349" t="n"/>
      <c r="L195" s="349" t="n"/>
      <c r="M195" s="349" t="n"/>
      <c r="N195" s="349" t="n"/>
      <c r="O195" s="349" t="n"/>
      <c r="P195" s="349" t="n"/>
      <c r="Q195" s="349" t="n"/>
      <c r="R195" s="349" t="n"/>
      <c r="S195" s="349" t="n"/>
    </row>
    <row r="196">
      <c r="A196" s="349" t="n"/>
      <c r="B196" s="349" t="n"/>
      <c r="C196" s="349" t="n"/>
      <c r="D196" s="349" t="n"/>
      <c r="E196" s="349" t="n"/>
      <c r="F196" s="349" t="n"/>
      <c r="G196" s="349" t="n"/>
      <c r="H196" s="349" t="n"/>
      <c r="I196" s="349" t="n"/>
      <c r="J196" s="349" t="n"/>
      <c r="K196" s="349" t="n"/>
      <c r="L196" s="349" t="n"/>
      <c r="M196" s="349" t="n"/>
      <c r="N196" s="349" t="n"/>
      <c r="O196" s="349" t="n"/>
      <c r="P196" s="349" t="n"/>
      <c r="Q196" s="349" t="n"/>
      <c r="R196" s="349" t="n"/>
      <c r="S196" s="349" t="n"/>
    </row>
    <row r="197">
      <c r="A197" s="349" t="n"/>
      <c r="B197" s="349" t="n"/>
      <c r="C197" s="349" t="n"/>
      <c r="D197" s="349" t="n"/>
      <c r="E197" s="349" t="n"/>
      <c r="F197" s="349" t="n"/>
      <c r="G197" s="349" t="n"/>
      <c r="H197" s="349" t="n"/>
      <c r="I197" s="349" t="n"/>
      <c r="J197" s="349" t="n"/>
      <c r="K197" s="349" t="n"/>
      <c r="L197" s="349" t="n"/>
      <c r="M197" s="349" t="n"/>
      <c r="N197" s="349" t="n"/>
      <c r="O197" s="349" t="n"/>
      <c r="P197" s="349" t="n"/>
      <c r="Q197" s="349" t="n"/>
      <c r="R197" s="349" t="n"/>
      <c r="S197" s="349" t="n"/>
    </row>
    <row r="198">
      <c r="A198" s="349" t="n"/>
      <c r="B198" s="349" t="n"/>
      <c r="C198" s="349" t="n"/>
      <c r="D198" s="349" t="n"/>
      <c r="E198" s="349" t="n"/>
      <c r="F198" s="349" t="n"/>
      <c r="G198" s="349" t="n"/>
      <c r="H198" s="349" t="n"/>
      <c r="I198" s="349" t="n"/>
      <c r="J198" s="349" t="n"/>
      <c r="K198" s="349" t="n"/>
      <c r="L198" s="349" t="n"/>
      <c r="M198" s="349" t="n"/>
      <c r="N198" s="349" t="n"/>
      <c r="O198" s="349" t="n"/>
      <c r="P198" s="349" t="n"/>
      <c r="Q198" s="349" t="n"/>
      <c r="R198" s="349" t="n"/>
      <c r="S198" s="349" t="n"/>
    </row>
    <row r="199">
      <c r="A199" s="349" t="n"/>
      <c r="B199" s="349" t="n"/>
      <c r="C199" s="349" t="n"/>
      <c r="D199" s="349" t="n"/>
      <c r="E199" s="349" t="n"/>
      <c r="F199" s="349" t="n"/>
      <c r="G199" s="349" t="n"/>
      <c r="H199" s="349" t="n"/>
      <c r="I199" s="349" t="n"/>
      <c r="J199" s="349" t="n"/>
      <c r="K199" s="349" t="n"/>
      <c r="L199" s="349" t="n"/>
      <c r="M199" s="349" t="n"/>
      <c r="N199" s="349" t="n"/>
      <c r="O199" s="349" t="n"/>
      <c r="P199" s="349" t="n"/>
      <c r="Q199" s="349" t="n"/>
      <c r="R199" s="349" t="n"/>
      <c r="S199" s="349" t="n"/>
    </row>
    <row r="200">
      <c r="A200" s="349" t="n"/>
      <c r="B200" s="349" t="n"/>
      <c r="C200" s="349" t="n"/>
      <c r="D200" s="349" t="n"/>
      <c r="E200" s="349" t="n"/>
      <c r="F200" s="349" t="n"/>
      <c r="G200" s="349" t="n"/>
      <c r="H200" s="349" t="n"/>
      <c r="I200" s="349" t="n"/>
      <c r="J200" s="349" t="n"/>
      <c r="K200" s="349" t="n"/>
      <c r="L200" s="349" t="n"/>
      <c r="M200" s="349" t="n"/>
      <c r="N200" s="349" t="n"/>
      <c r="O200" s="349" t="n"/>
      <c r="P200" s="349" t="n"/>
      <c r="Q200" s="349" t="n"/>
      <c r="R200" s="349" t="n"/>
      <c r="S200" s="349" t="n"/>
    </row>
    <row r="201">
      <c r="A201" s="349" t="n"/>
      <c r="B201" s="349" t="n"/>
      <c r="C201" s="349" t="n"/>
      <c r="D201" s="349" t="n"/>
      <c r="E201" s="349" t="n"/>
      <c r="F201" s="349" t="n"/>
      <c r="G201" s="349" t="n"/>
      <c r="H201" s="349" t="n"/>
      <c r="I201" s="349" t="n"/>
      <c r="J201" s="349" t="n"/>
      <c r="K201" s="349" t="n"/>
      <c r="L201" s="349" t="n"/>
      <c r="M201" s="349" t="n"/>
      <c r="N201" s="349" t="n"/>
      <c r="O201" s="349" t="n"/>
      <c r="P201" s="349" t="n"/>
      <c r="Q201" s="349" t="n"/>
      <c r="R201" s="349" t="n"/>
      <c r="S201" s="349" t="n"/>
    </row>
    <row r="202">
      <c r="A202" s="349" t="n"/>
      <c r="B202" s="349" t="n"/>
      <c r="C202" s="349" t="n"/>
      <c r="D202" s="349" t="n"/>
      <c r="E202" s="349" t="n"/>
      <c r="F202" s="349" t="n"/>
      <c r="G202" s="349" t="n"/>
      <c r="H202" s="349" t="n"/>
      <c r="I202" s="349" t="n"/>
      <c r="J202" s="349" t="n"/>
      <c r="K202" s="349" t="n"/>
      <c r="L202" s="349" t="n"/>
      <c r="M202" s="349" t="n"/>
      <c r="N202" s="349" t="n"/>
      <c r="O202" s="349" t="n"/>
      <c r="P202" s="349" t="n"/>
      <c r="Q202" s="349" t="n"/>
      <c r="R202" s="349" t="n"/>
      <c r="S202" s="349" t="n"/>
    </row>
    <row r="203">
      <c r="A203" s="349" t="n"/>
      <c r="B203" s="349" t="n"/>
      <c r="C203" s="349" t="n"/>
      <c r="D203" s="349" t="n"/>
      <c r="E203" s="349" t="n"/>
      <c r="F203" s="349" t="n"/>
      <c r="G203" s="349" t="n"/>
      <c r="H203" s="349" t="n"/>
      <c r="I203" s="349" t="n"/>
      <c r="J203" s="349" t="n"/>
      <c r="K203" s="349" t="n"/>
      <c r="L203" s="349" t="n"/>
      <c r="M203" s="349" t="n"/>
      <c r="N203" s="349" t="n"/>
      <c r="O203" s="349" t="n"/>
      <c r="P203" s="349" t="n"/>
      <c r="Q203" s="349" t="n"/>
      <c r="R203" s="349" t="n"/>
      <c r="S203" s="349" t="n"/>
    </row>
    <row r="204">
      <c r="A204" s="349" t="n"/>
      <c r="B204" s="349" t="n"/>
      <c r="C204" s="349" t="n"/>
      <c r="D204" s="349" t="n"/>
      <c r="E204" s="349" t="n"/>
      <c r="F204" s="349" t="n"/>
      <c r="G204" s="349" t="n"/>
      <c r="H204" s="349" t="n"/>
      <c r="I204" s="349" t="n"/>
      <c r="J204" s="349" t="n"/>
      <c r="K204" s="349" t="n"/>
      <c r="L204" s="349" t="n"/>
      <c r="M204" s="349" t="n"/>
      <c r="N204" s="349" t="n"/>
      <c r="O204" s="349" t="n"/>
      <c r="P204" s="349" t="n"/>
      <c r="Q204" s="349" t="n"/>
      <c r="R204" s="349" t="n"/>
      <c r="S204" s="349" t="n"/>
    </row>
    <row r="205">
      <c r="A205" s="349" t="n"/>
      <c r="B205" s="349" t="n"/>
      <c r="C205" s="349" t="n"/>
      <c r="D205" s="349" t="n"/>
      <c r="E205" s="349" t="n"/>
      <c r="F205" s="349" t="n"/>
      <c r="G205" s="349" t="n"/>
      <c r="H205" s="349" t="n"/>
      <c r="I205" s="349" t="n"/>
      <c r="J205" s="349" t="n"/>
      <c r="K205" s="349" t="n"/>
      <c r="L205" s="349" t="n"/>
      <c r="M205" s="349" t="n"/>
      <c r="N205" s="349" t="n"/>
      <c r="O205" s="349" t="n"/>
      <c r="P205" s="349" t="n"/>
      <c r="Q205" s="349" t="n"/>
      <c r="R205" s="349" t="n"/>
      <c r="S205" s="349" t="n"/>
    </row>
    <row r="206">
      <c r="A206" s="349" t="n"/>
      <c r="B206" s="349" t="n"/>
      <c r="C206" s="349" t="n"/>
      <c r="D206" s="349" t="n"/>
      <c r="E206" s="349" t="n"/>
      <c r="F206" s="349" t="n"/>
      <c r="G206" s="349" t="n"/>
      <c r="H206" s="349" t="n"/>
      <c r="I206" s="349" t="n"/>
      <c r="J206" s="349" t="n"/>
      <c r="K206" s="349" t="n"/>
      <c r="L206" s="349" t="n"/>
      <c r="M206" s="349" t="n"/>
      <c r="N206" s="349" t="n"/>
      <c r="O206" s="349" t="n"/>
      <c r="P206" s="349" t="n"/>
      <c r="Q206" s="349" t="n"/>
      <c r="R206" s="349" t="n"/>
      <c r="S206" s="349" t="n"/>
    </row>
    <row r="207">
      <c r="B207" s="349" t="n"/>
      <c r="C207" s="349" t="n"/>
      <c r="D207" s="349" t="n"/>
      <c r="E207" s="349" t="n"/>
      <c r="F207" s="349" t="n"/>
      <c r="G207" s="349" t="n"/>
      <c r="H207" s="349" t="n"/>
      <c r="I207" s="349" t="n"/>
      <c r="J207" s="349" t="n"/>
      <c r="K207" s="349" t="n"/>
      <c r="L207" s="349" t="n"/>
      <c r="M207" s="349" t="n"/>
      <c r="N207" s="349" t="n"/>
      <c r="O207" s="349" t="n"/>
      <c r="P207" s="349" t="n"/>
      <c r="Q207" s="349" t="n"/>
      <c r="R207" s="349" t="n"/>
      <c r="S207" s="349" t="n"/>
    </row>
    <row r="208">
      <c r="B208" s="349" t="n"/>
      <c r="C208" s="349" t="n"/>
      <c r="D208" s="349" t="n"/>
      <c r="E208" s="349" t="n"/>
      <c r="F208" s="349" t="n"/>
      <c r="G208" s="349" t="n"/>
      <c r="H208" s="349" t="n"/>
      <c r="I208" s="349" t="n"/>
      <c r="J208" s="349" t="n"/>
      <c r="K208" s="349" t="n"/>
      <c r="L208" s="349" t="n"/>
      <c r="M208" s="349" t="n"/>
      <c r="N208" s="349" t="n"/>
      <c r="O208" s="349" t="n"/>
      <c r="P208" s="349" t="n"/>
      <c r="Q208" s="349" t="n"/>
      <c r="R208" s="349" t="n"/>
      <c r="S208" s="349" t="n"/>
    </row>
  </sheetData>
  <mergeCells count="14">
    <mergeCell ref="F123:I123"/>
    <mergeCell ref="C65:D65"/>
    <mergeCell ref="C81:D81"/>
    <mergeCell ref="D11:K11"/>
    <mergeCell ref="C123:D123"/>
    <mergeCell ref="C141:D141"/>
    <mergeCell ref="D17:F17"/>
    <mergeCell ref="C102:D102"/>
    <mergeCell ref="C135:D135"/>
    <mergeCell ref="F29:H29"/>
    <mergeCell ref="I17:J17"/>
    <mergeCell ref="G17:H17"/>
    <mergeCell ref="C129:D129"/>
    <mergeCell ref="C49:D49"/>
  </mergeCells>
  <pageMargins left="0.75" right="0.75" top="1" bottom="1" header="0.5" footer="0.5"/>
</worksheet>
</file>

<file path=xl/worksheets/sheet20.xml><?xml version="1.0" encoding="utf-8"?>
<worksheet xmlns="http://schemas.openxmlformats.org/spreadsheetml/2006/main">
  <sheetPr>
    <outlinePr summaryBelow="0" summaryRight="0"/>
    <pageSetUpPr fitToPage="1"/>
  </sheetPr>
  <dimension ref="A1:C62"/>
  <sheetViews>
    <sheetView workbookViewId="0">
      <pane ySplit="2" topLeftCell="A3" activePane="bottomLeft" state="frozen"/>
      <selection pane="bottomLeft" activeCell="B4" sqref="B4"/>
    </sheetView>
  </sheetViews>
  <sheetFormatPr baseColWidth="8" defaultColWidth="12.63" defaultRowHeight="15.75" customHeight="1"/>
  <cols>
    <col width="10.38" customWidth="1" style="384" min="1" max="1"/>
    <col width="29" customWidth="1" style="384" min="2" max="2"/>
    <col width="75.88" customWidth="1" style="384" min="3" max="3"/>
  </cols>
  <sheetData>
    <row r="1">
      <c r="A1" s="367" t="inlineStr">
        <is>
          <t>Controle de Alterações - Kit do avaliador</t>
        </is>
      </c>
      <c r="B1" s="368" t="n"/>
      <c r="C1" s="369" t="n"/>
    </row>
    <row r="2">
      <c r="A2" s="370" t="inlineStr">
        <is>
          <t>Data</t>
        </is>
      </c>
      <c r="B2" s="262" t="inlineStr">
        <is>
          <t>Documento</t>
        </is>
      </c>
      <c r="C2" s="371" t="inlineStr">
        <is>
          <t>Modificações</t>
        </is>
      </c>
    </row>
    <row r="3">
      <c r="A3" s="375" t="n">
        <v>46021</v>
      </c>
      <c r="B3" s="376" t="inlineStr">
        <is>
          <t>Planilha de Avaliação (DECLARACAO_AVALIACAO)</t>
        </is>
      </c>
      <c r="C3" s="380" t="inlineStr">
        <is>
          <t>Ajuste de problema que fazia com que "processos de software" fossem mencionados na declaração de avaliação de serviços (MPS-SV) e gestão de pessoas (MPS-RH). Apesar disso, o nome, sigla e versão dos modelos eram identificados corretamente.</t>
        </is>
      </c>
    </row>
    <row r="4">
      <c r="A4" s="375" t="n">
        <v>45686</v>
      </c>
      <c r="B4" s="376" t="inlineStr">
        <is>
          <t>Planilha de Avaliação (ACORDO_CONFIDENCIALIDADE, DECLARACAO_AVALIACAO)</t>
        </is>
      </c>
      <c r="C4" s="380" t="inlineStr">
        <is>
          <t>Os campos para assinaturas dos representantes da SOFTEX nestes documentos passam a mencionar apenas 'Gestor MPSBR Softex'.</t>
        </is>
      </c>
    </row>
    <row r="5">
      <c r="A5" s="375" t="n">
        <v>45686</v>
      </c>
      <c r="B5" s="376" t="inlineStr">
        <is>
          <t>Planilha de Avaliação (ACORDO_CONFIDENCIALIDADE, DECLARACAO_AVALIACAO, RESULTADO_FINAL)</t>
        </is>
      </c>
      <c r="C5" s="380" t="inlineStr">
        <is>
          <t>Inclusão de mensagem ao final dos documentos informando que devem ser assinados eletronicamentes em plataforma com certificado digital ICP.</t>
        </is>
      </c>
    </row>
    <row r="6">
      <c r="A6" s="375" t="n">
        <v>45686</v>
      </c>
      <c r="B6" s="376" t="inlineStr">
        <is>
          <t>Planilha de Avaliação, Relatório de Ajustes</t>
        </is>
      </c>
      <c r="C6" s="380" t="inlineStr">
        <is>
          <t>Ajuste no nome do processo Gerência de Configuração para avaliações do MPS-SV (estava com nome antigo, Gerência de Configuração de Serviços).</t>
        </is>
      </c>
    </row>
    <row r="7">
      <c r="A7" s="375" t="n">
        <v>45686</v>
      </c>
      <c r="B7" s="376" t="inlineStr">
        <is>
          <t>Planilha de Avaliação (RESULTADO_INICIAL)</t>
        </is>
      </c>
      <c r="C7" s="380" t="inlineStr">
        <is>
          <t>Ajuste da abreviatura de 'atenciosamente' no texto sugerido para e-mail referente ao resultado inicial da avaliação inicial.</t>
        </is>
      </c>
    </row>
    <row r="8">
      <c r="A8" s="375" t="n">
        <v>45686</v>
      </c>
      <c r="B8" s="376" t="inlineStr">
        <is>
          <t>Apresentação Resultado Final MPS-SV 2024</t>
        </is>
      </c>
      <c r="C8" s="380" t="inlineStr">
        <is>
          <t>Ajustes nos resultados esperados de Gerência do Ciclo de Vida do Serviço com eliminação de repetição do resultado GVC 7.</t>
        </is>
      </c>
    </row>
    <row r="9">
      <c r="A9" s="375" t="n">
        <v>45686</v>
      </c>
      <c r="B9" s="376" t="inlineStr">
        <is>
          <t>Kit de Avaliação (Versão 2023)</t>
        </is>
      </c>
      <c r="C9" s="380" t="inlineStr">
        <is>
          <t>Exclusão do Kit de Avaliação para as versões 2023 dos Guias MPS-SV e MPS-SW.</t>
        </is>
      </c>
    </row>
    <row r="10">
      <c r="A10" s="375" t="n">
        <v>45469</v>
      </c>
      <c r="B10" s="376" t="inlineStr">
        <is>
          <t>Apresentação Resultado Final (MPS-SW:2024)</t>
        </is>
      </c>
      <c r="C10" s="380" t="inlineStr">
        <is>
          <t>Ajuste no slide que apresenta os resultados esperados de Gerência Organizacional de Software. Ajuste do nome do processo Gerência Organizacional de Software nos slides que consolidam o resultado da avaliação.</t>
        </is>
      </c>
    </row>
    <row r="11">
      <c r="A11" s="378" t="n">
        <v>45444</v>
      </c>
      <c r="B11" s="267" t="inlineStr">
        <is>
          <t>Planilha de Avaliação</t>
        </is>
      </c>
      <c r="C11" s="379" t="inlineStr">
        <is>
          <t xml:space="preserve">Adequação às versões 2024 dos modelos MPS-SW e MPS-SV e do Método de Avaliação. Atualização dos nomes e resultados esperados dos processos dos modelos MPS-SW:2024 e MPS-SV:2024. Atualização da versão do Método de Avaliação (MA-MPS:2024). </t>
        </is>
      </c>
    </row>
    <row r="12">
      <c r="A12" s="378" t="n">
        <v>45444</v>
      </c>
      <c r="B12" s="267" t="inlineStr">
        <is>
          <t>Apresentação Resultado Final (MPS-SW:2024, MPS-SV:2024)</t>
        </is>
      </c>
      <c r="C12" s="379" t="inlineStr">
        <is>
          <t>Adequação às versões 2024 dos modelos MPS-SW e MPS-SV. Atualização dos nomes e resultados esperados dos processos dos modelos MPS-SW:2024 e MPS-SV:2024.</t>
        </is>
      </c>
    </row>
    <row r="13">
      <c r="A13" s="378" t="n">
        <v>45444</v>
      </c>
      <c r="B13" s="267" t="inlineStr">
        <is>
          <t>Reunião de Abertura (MPS-SW:2024, MPS-SV:2024)</t>
        </is>
      </c>
      <c r="C13" s="379" t="inlineStr">
        <is>
          <t>Adequação às versões 2024 dos modelos MPS-SW e MPS-SV. Atualização dos nomes  dos processos dos modelos MPS-SW:2024 e MPS-SV:2024.</t>
        </is>
      </c>
    </row>
    <row r="14">
      <c r="A14" s="378" t="n">
        <v>45444</v>
      </c>
      <c r="B14" s="267" t="inlineStr">
        <is>
          <t>Treinamento Avaliação Inicial MPS 2024</t>
        </is>
      </c>
      <c r="C14" s="379" t="inlineStr">
        <is>
          <t xml:space="preserve">Atualização da versão do Método de Avaliação na capa. </t>
        </is>
      </c>
    </row>
    <row r="15">
      <c r="A15" s="378" t="n">
        <v>45444</v>
      </c>
      <c r="B15" s="267" t="inlineStr">
        <is>
          <t>Treinamento Avaliação Final MPS 2024</t>
        </is>
      </c>
      <c r="C15" s="379" t="inlineStr">
        <is>
          <t xml:space="preserve">Atualização da versão do Método de Avaliação na capa. </t>
        </is>
      </c>
    </row>
    <row r="16">
      <c r="A16" s="378" t="n">
        <v>45444</v>
      </c>
      <c r="B16" s="267" t="inlineStr">
        <is>
          <t>Relatório de Ajustes</t>
        </is>
      </c>
      <c r="C16" s="379" t="inlineStr">
        <is>
          <t>Adequação às versões 2024 dos modelos MPS-SW e MPS-SV. Atualização do nome dos processos dos modelos MPS-SW:2024 e MPS-SV:2024.</t>
        </is>
      </c>
    </row>
    <row r="17">
      <c r="A17" s="378" t="n">
        <v>45425</v>
      </c>
      <c r="B17" s="267" t="inlineStr">
        <is>
          <t>Planilha de Avaliação (DADOS_EMPRESA, DADOS_AVAL)</t>
        </is>
      </c>
      <c r="C17" s="379" t="inlineStr">
        <is>
          <t xml:space="preserve">Retirada da validação automática do formato de e-mail nas informações sobre patrocinador, coordenador local e membros da equipe de avaliação. As regras de validação do e-mail do Google não validam corretamente e-mails que terminam por domínios 'não triviais', como '.digital'. </t>
        </is>
      </c>
    </row>
    <row r="18">
      <c r="A18" s="378" t="n">
        <v>45315</v>
      </c>
      <c r="B18" s="267" t="inlineStr">
        <is>
          <t>Planilha de Avaliação (DADOS_AVAL; PLANO; RESULTADO_FINAL)</t>
        </is>
      </c>
      <c r="C18" s="379" t="inlineStr">
        <is>
          <t>Campos referente a datas agora apresentam um calendário para escolha das datas e impedem a entrada de valores que não sejam datas válidas. Não entrar com datas válidas pode atrapalhar a exibição de datas em outras abas, como na Declaração da Avaliação.</t>
        </is>
      </c>
    </row>
    <row r="19">
      <c r="A19" s="378" t="n">
        <v>45308</v>
      </c>
      <c r="B19" s="267" t="inlineStr">
        <is>
          <t>Estrutura de Pastas de Todos os Modelos (MPS-SW, MPS-SV, MPS-RH)</t>
        </is>
      </c>
      <c r="C19" s="379" t="inlineStr">
        <is>
          <t>Todos os arquivos de todos os modelos vigentes passam a ficar em uma pasta única (Versao_2023). Foram mantidas apenas as versões vigentes dos guias, as demais foram excluídas.</t>
        </is>
      </c>
    </row>
    <row r="20">
      <c r="A20" s="378" t="n">
        <v>45308</v>
      </c>
      <c r="B20" s="267" t="inlineStr">
        <is>
          <t>Planilha de Avaliação (RESULTADO_FINAL)</t>
        </is>
      </c>
      <c r="C20" s="379" t="inlineStr">
        <is>
          <t>Ajuste do comentário ao final da aba para indicar que as linhas referentes aos processos não presentes no nível considerado devem ser ocultados e não apagados.</t>
        </is>
      </c>
    </row>
    <row r="21">
      <c r="A21" s="378" t="n">
        <v>45308</v>
      </c>
      <c r="B21" s="267" t="inlineStr">
        <is>
          <t>Planilha de Avaliação (PROJETOS)</t>
        </is>
      </c>
      <c r="C21" s="379" t="inlineStr">
        <is>
          <t>A mensagem sobre utilizar esta aba para avaliações do MPS-SW e ocultar (mas não apagar) as abas SERVIÇOS e ÁREAS está mais explícita, na primeira linha da planilha.</t>
        </is>
      </c>
    </row>
    <row r="22">
      <c r="A22" s="378" t="n">
        <v>45308</v>
      </c>
      <c r="B22" s="267" t="inlineStr">
        <is>
          <t>Planilha de Avaliação (SERVIÇOS)</t>
        </is>
      </c>
      <c r="C22" s="379" t="inlineStr">
        <is>
          <t>A mensagem sobre utilizar esta aba para avaliações do MPS-SV e ocultar (mas não apagar) as abas PROJETOS e ÁREAS está mais explícita, na primeira linha da planilha.</t>
        </is>
      </c>
    </row>
    <row r="23">
      <c r="A23" s="378" t="n">
        <v>45308</v>
      </c>
      <c r="B23" s="267" t="inlineStr">
        <is>
          <t>Planilha de Avaliação (ÁREAS)</t>
        </is>
      </c>
      <c r="C23" s="379" t="inlineStr">
        <is>
          <t>A mensagem sobre utilizar esta aba para avaliações do MPS-RH e ocultar (mas não apagar) as abas ÁREAS e SERVIÇOS está mais explícita, na primeira linha da planilha.</t>
        </is>
      </c>
    </row>
    <row r="24">
      <c r="A24" s="378" t="n">
        <v>45308</v>
      </c>
      <c r="B24" s="267" t="inlineStr">
        <is>
          <t>Planilha de Avaliação (DADOS_AVAL)</t>
        </is>
      </c>
      <c r="C24" s="379" t="inlineStr">
        <is>
          <t>Inclusão de possilidade de indicar a contratação de Curso de Preparação de Representante da Empresa (CR-MPS) além do curso de Introdução (C1-MPS).</t>
        </is>
      </c>
    </row>
    <row r="25">
      <c r="A25" s="378" t="n">
        <v>45308</v>
      </c>
      <c r="B25" s="267" t="inlineStr">
        <is>
          <t>Planilha de Avaliação (AUDITORIA)</t>
        </is>
      </c>
      <c r="C25" s="379" t="inlineStr">
        <is>
          <t>Troca do endereço do site para verificação do CNPJ da empresa, pois o anterior não funcionava mais.</t>
        </is>
      </c>
    </row>
    <row r="26">
      <c r="A26" s="378" t="n">
        <v>45308</v>
      </c>
      <c r="B26" s="267" t="inlineStr">
        <is>
          <t>Planilha de Avaliação (DADOS_EMPRESA)</t>
        </is>
      </c>
      <c r="C26" s="379" t="inlineStr">
        <is>
          <t>Inclusão de comentário (célula A9 - CNPJ) indicando que o avaliador líder deve verificar se o CNPJ está válido e compatível com as informações de razão social e enderenço indicadas pela empresa.</t>
        </is>
      </c>
    </row>
    <row r="27">
      <c r="A27" s="378" t="n">
        <v>45308</v>
      </c>
      <c r="B27" s="267" t="inlineStr">
        <is>
          <t>Planilha de Avaliação (DADOS_EMPRESA)</t>
        </is>
      </c>
      <c r="C27" s="379" t="inlineStr">
        <is>
          <t>Revisão dos comentários nas células A7 (Unidade Organizacional) e A9 (CNPJ) para melhorar explicação de quais células podem ser ocultadas (nunca apagadas) quando a Unidade Organizacional estiver associada a mais de um CNPJ).</t>
        </is>
      </c>
    </row>
    <row r="28">
      <c r="A28" s="378" t="n">
        <v>45308</v>
      </c>
      <c r="B28" s="267" t="inlineStr">
        <is>
          <t>Planilha de Avaliação (PARAMETROS)</t>
        </is>
      </c>
      <c r="C28" s="379" t="inlineStr">
        <is>
          <t>Exclusão das versões não vigentes dos modelos MPS.</t>
        </is>
      </c>
    </row>
    <row r="29">
      <c r="A29" s="375" t="n">
        <v>45308</v>
      </c>
      <c r="B29" s="376" t="inlineStr">
        <is>
          <t>Planilha de Avaliação</t>
        </is>
      </c>
      <c r="C29" s="380" t="inlineStr">
        <is>
          <t>Substituição dos logos do MPS.BR e da SOFTEX para as versões atuais.</t>
        </is>
      </c>
    </row>
    <row r="30">
      <c r="A30" s="378" t="n">
        <v>45308</v>
      </c>
      <c r="B30" s="267" t="inlineStr">
        <is>
          <t>Apresentação Resultado Final (MPS-SW:2023, MPS-SV:2023)</t>
        </is>
      </c>
      <c r="C30" s="379" t="inlineStr">
        <is>
          <t>Alteração do slide "Observações Gerais Quanto a Melhorias Identificadas e Implementadas" para listar as melhorias identificadas e não apenas indicar a quantidade.</t>
        </is>
      </c>
    </row>
    <row r="31">
      <c r="A31" s="378" t="n">
        <v>45308</v>
      </c>
      <c r="B31" s="267" t="inlineStr">
        <is>
          <t>Reunião de Abertura (MPS-SW:2023, MPS-SV:2023, MPS-RH:2016)</t>
        </is>
      </c>
      <c r="C31" s="379" t="inlineStr">
        <is>
          <t>Pequenos ajustes de formatação, inclusão de número de slides em todos os slides, atualização do logo do MPS.BR.</t>
        </is>
      </c>
    </row>
    <row r="32">
      <c r="A32" s="378" t="n">
        <v>45308</v>
      </c>
      <c r="B32" s="267" t="inlineStr">
        <is>
          <t>Apresentação Resultado Final (MPS-SW:2023, MPS-SV:2023, MPS-RH:2016)</t>
        </is>
      </c>
      <c r="C32" s="379" t="inlineStr">
        <is>
          <t>Pequenos ajustes de formatação, inclusão de número de slides em todos os slides, atualização do logo do MPS.BR.</t>
        </is>
      </c>
    </row>
    <row r="33">
      <c r="A33" s="378" t="n">
        <v>45308</v>
      </c>
      <c r="B33" s="267" t="inlineStr">
        <is>
          <t>Treinamento Avaliação Inicial MPS 2023</t>
        </is>
      </c>
      <c r="C33" s="379" t="inlineStr">
        <is>
          <t>Pequenos ajustes de formatação e inclusão de número de slides em todos os slides.</t>
        </is>
      </c>
    </row>
    <row r="34">
      <c r="A34" s="378" t="n">
        <v>45308</v>
      </c>
      <c r="B34" s="267" t="inlineStr">
        <is>
          <t>Treinamento Avaliação Final MPS 2023</t>
        </is>
      </c>
      <c r="C34" s="379" t="inlineStr">
        <is>
          <t>Pequenos ajustes de formatação e inclusão de número de slides em todos os slides.</t>
        </is>
      </c>
    </row>
    <row r="35">
      <c r="A35" s="378" t="n">
        <v>45074</v>
      </c>
      <c r="B35" s="267" t="inlineStr">
        <is>
          <t>Planilha de Avaliação (AUDITORIA)</t>
        </is>
      </c>
      <c r="C35" s="379" t="inlineStr">
        <is>
          <t>Havia dois critérios redundantes sobre o preenchimento do Relatório de Ajustes para a Avaliação Final. Apenas um foi mantido.</t>
        </is>
      </c>
    </row>
    <row r="36">
      <c r="A36" s="375" t="n">
        <v>45071</v>
      </c>
      <c r="B36" s="376" t="inlineStr">
        <is>
          <t>Apresentação Resultado Final MPS-SV 2023</t>
        </is>
      </c>
      <c r="C36" s="380" t="inlineStr">
        <is>
          <t>Retirada de sigla GOS do cabeçalho dos slides referentes ao processo Gerência de Operação de Serviços.</t>
        </is>
      </c>
    </row>
    <row r="37">
      <c r="A37" s="378" t="n">
        <v>45036</v>
      </c>
      <c r="B37" s="267" t="inlineStr">
        <is>
          <t>Planilha de Avaliação (PLANO)</t>
        </is>
      </c>
      <c r="C37" s="379" t="inlineStr">
        <is>
          <t>Possibilidade de informar até dois processos com resultados excluídos. Os processos que podem ter resultados excluídos é exibida como opção de preenchimento, com base no modelo alvo da avaliação.</t>
        </is>
      </c>
    </row>
    <row r="38">
      <c r="A38" s="378" t="n">
        <v>45036</v>
      </c>
      <c r="B38" s="267" t="inlineStr">
        <is>
          <t>Planilha de Avaliação (RESULTADO_FINAL)</t>
        </is>
      </c>
      <c r="C38" s="379" t="inlineStr">
        <is>
          <t>Inclusão de mais uma linha para informar os processos e resultados excluídos da avaliação.</t>
        </is>
      </c>
    </row>
    <row r="39">
      <c r="A39" s="378" t="n">
        <v>45036</v>
      </c>
      <c r="B39" s="267" t="inlineStr">
        <is>
          <t>Relatório de Ajustes</t>
        </is>
      </c>
      <c r="C39" s="379" t="inlineStr">
        <is>
          <t>A lista de processos a ser avaliada no MPS-SW passa a incluir também capacidade de processos de projetos (CP-Proj) e organizacional (CP-Org.). A lista de processos a ser avaliada no MPS-SV passa a incluir também capacidade de processos (CP).</t>
        </is>
      </c>
    </row>
    <row r="40">
      <c r="A40" s="378" t="n">
        <v>45036</v>
      </c>
      <c r="B40" s="267" t="inlineStr">
        <is>
          <t>Reunião de Abertura MPS-SW 2023</t>
        </is>
      </c>
      <c r="C40" s="379" t="inlineStr">
        <is>
          <t>Revisão e padronização dos rodapés dos slides.</t>
        </is>
      </c>
    </row>
    <row r="41">
      <c r="A41" s="378" t="n">
        <v>45036</v>
      </c>
      <c r="B41" s="267" t="inlineStr">
        <is>
          <t>Reunião de Abertura MPS-SV 2023</t>
        </is>
      </c>
      <c r="C41" s="379" t="inlineStr">
        <is>
          <t>Revisão e padronização dos rodapés dos slides. Correção do slides listando os resultados esperados dos processos ATD e GNS.</t>
        </is>
      </c>
    </row>
    <row r="42">
      <c r="A42" s="378" t="n">
        <v>45036</v>
      </c>
      <c r="B42" s="267" t="inlineStr">
        <is>
          <t>Apresentação Resultado Final MPS-SW 2023</t>
        </is>
      </c>
      <c r="C42" s="379" t="inlineStr">
        <is>
          <t>Revisão e padronização dos rodapés dos slides.</t>
        </is>
      </c>
    </row>
    <row r="43">
      <c r="A43" s="378" t="n">
        <v>45036</v>
      </c>
      <c r="B43" s="267" t="inlineStr">
        <is>
          <t>Apresentação Resultado Final MPS-SV 2023</t>
        </is>
      </c>
      <c r="C43" s="379" t="inlineStr">
        <is>
          <t>Revisão e padronização dos rodapés dos slides.</t>
        </is>
      </c>
    </row>
    <row r="44">
      <c r="A44" s="378" t="n">
        <v>45012</v>
      </c>
      <c r="B44" s="381" t="inlineStr">
        <is>
          <t>Planilha de Avaliação (Geral)</t>
        </is>
      </c>
      <c r="C44" s="379" t="inlineStr">
        <is>
          <t xml:space="preserve">As planilhas de SW, SV e RH foram unificadas, visando facilitar a manutenção e evolução. O modelo a ser avaliado deve ser informado na aba DADOS_AVAL.
Em avaliações do MPS-SW, as abas SERVIÇOS, ÁREAS e RESULTADO_FINAL_RH devem ser ocultadas. Em avaliações do MPS-SV, as abas PROJETOS, ÁREAS e RESULTADO_FINAL_RH devem ser ocultadas. Em avaliações do MPS-RH, as abas PROJETOS, SERVIÇOS e RESULTADO_FINAL devem ser ocultadas. </t>
        </is>
      </c>
    </row>
    <row r="45">
      <c r="A45" s="378" t="n">
        <v>45012</v>
      </c>
      <c r="B45" s="267" t="inlineStr">
        <is>
          <t>Planilha de Avaliação (Geral)</t>
        </is>
      </c>
      <c r="C45" s="379" t="inlineStr">
        <is>
          <t>Ajustes diversos em fórmulas e referências cruzadas.</t>
        </is>
      </c>
    </row>
    <row r="46">
      <c r="A46" s="378" t="n">
        <v>45012</v>
      </c>
      <c r="B46" s="267" t="inlineStr">
        <is>
          <t>Planilha de Avaliação (DADOS_AVALIAÇÃO)</t>
        </is>
      </c>
      <c r="C46" s="379" t="inlineStr">
        <is>
          <t xml:space="preserve">Separação dos campos II e Nome do Implementador Credenciado. Separação dos campos para informar Avaliadores Adjustos. Separação dos campos para informar Outros Avaliadores participantes. Verificação automática dos campos que preveem entrada de e-mails. </t>
        </is>
      </c>
    </row>
    <row r="47">
      <c r="A47" s="378" t="n">
        <v>45012</v>
      </c>
      <c r="B47" s="267" t="inlineStr">
        <is>
          <t>Planilha de Avaliação (DADOS_EMPRESA)</t>
        </is>
      </c>
      <c r="C47" s="379" t="inlineStr">
        <is>
          <t xml:space="preserve">Inclusão de campos para informar múltiplos CNPJs associados às unidades organizacionais consideradas na avaliação. Verificação automática dos campos que preveem entrada de e-mails. </t>
        </is>
      </c>
    </row>
    <row r="48">
      <c r="A48" s="378" t="n">
        <v>45012</v>
      </c>
      <c r="B48" s="267" t="inlineStr">
        <is>
          <t>Planilha de Avaliação (SERVIÇOS)</t>
        </is>
      </c>
      <c r="C48" s="379" t="inlineStr">
        <is>
          <t>Ajuste nas opções associadas com a coluna Cliente (interno/externo).</t>
        </is>
      </c>
    </row>
    <row r="49">
      <c r="A49" s="378" t="n">
        <v>45012</v>
      </c>
      <c r="B49" s="267" t="inlineStr">
        <is>
          <t>Planilha de Avaliação (PLANO)</t>
        </is>
      </c>
      <c r="C49" s="379" t="inlineStr">
        <is>
          <t>Apenas os nomes das instâncias (vide aba PROJETOS, SERVIÇOS ou ÁREAS) selecionadas para avaliação aparecem como opção de preenchimento da 1a coluna. As informações sobre gerência, número de participantes e status são preenchidas automaticamente quando uma instância é selecionada na 1a coluna.</t>
        </is>
      </c>
    </row>
    <row r="50">
      <c r="A50" s="378" t="n">
        <v>45012</v>
      </c>
      <c r="B50" s="267" t="inlineStr">
        <is>
          <t>Planilha de Avaliação (ACORDO_CONFIDENCIALIDADE)</t>
        </is>
      </c>
      <c r="C50" s="379" t="inlineStr">
        <is>
          <t>São exibidos todos os nomes/e-mails de avaliadores adjuntos, representantes de empresa e outros avaliadores identificados no plano. Deve-se excluir as linhas não pertinentes para a avaliação ao gerar o pdf do documento.</t>
        </is>
      </c>
    </row>
    <row r="51">
      <c r="A51" s="378" t="n">
        <v>45012</v>
      </c>
      <c r="B51" s="267" t="inlineStr">
        <is>
          <t>Planilha de Avaliação (EQUIPE)</t>
        </is>
      </c>
      <c r="C51" s="379" t="inlineStr">
        <is>
          <t xml:space="preserve">Nome da coluna 'Chefia' foi alterado para ‘Nome da Chefia’. Para evitar que seja indicado "Sim" ou "Não" em vez do nome da chefia imediata. </t>
        </is>
      </c>
    </row>
    <row r="52">
      <c r="A52" s="378" t="n">
        <v>45012</v>
      </c>
      <c r="B52" s="267" t="inlineStr">
        <is>
          <t>Planilha de Avaliação (EQUIPE_ORG)</t>
        </is>
      </c>
      <c r="C52" s="379" t="inlineStr">
        <is>
          <t xml:space="preserve">Nome da coluna 'Chefia' foi alterado para ‘Nome da Chefia’. Para evitar que seja indicado "Sim" ou "Não" em vez do nome da chefia imediata. </t>
        </is>
      </c>
    </row>
    <row r="53">
      <c r="A53" s="378" t="n">
        <v>45012</v>
      </c>
      <c r="B53" s="267" t="inlineStr">
        <is>
          <t>Planilha de Avaliação (EQUIPE_ORG)</t>
        </is>
      </c>
      <c r="C53" s="379" t="inlineStr">
        <is>
          <t>Inclusão de nota explicativa na coluna "Processo Organizacional UO" para indicar que deve-se preencher o nome do processo utilizado na organização. Caso pertinente, pode-se informar entre parêntesis o nome do processo MPS correspondente.</t>
        </is>
      </c>
    </row>
    <row r="54">
      <c r="A54" s="378" t="n">
        <v>45012</v>
      </c>
      <c r="B54" s="267" t="inlineStr">
        <is>
          <t>Planilha de Avaliação (RESULTADO_FINAL)</t>
        </is>
      </c>
      <c r="C54" s="379" t="inlineStr">
        <is>
          <t>Caso seja informado "NA", "N/A" ou "Não se Aplica" na aba PLANO_AVAL para os nomes de Avaliador(es) Adjunto(s), Observador do Avaliador líder e Avaliador(es) Representante(s) da Unidade Organizacional, os dados na aba RESULTADO_FINAL informarão "-" para indicar que os papéis não são desempenhados na avaliação.</t>
        </is>
      </c>
    </row>
    <row r="55">
      <c r="A55" s="378" t="n">
        <v>45012</v>
      </c>
      <c r="B55" s="267" t="inlineStr">
        <is>
          <t>Planilha de Avaliação (RESULTADO_FINAL_RH)</t>
        </is>
      </c>
      <c r="C55" s="379" t="inlineStr">
        <is>
          <t>Caso seja informado "NA", "N/A" ou "Não se Aplica" na aba PLANO_AVAL para os nomes de Avaliador(es) Adjunto(s), Observador do Avaliador líder e Avaliador(es) Representante(s) da Unidade Organizacional, os dados na aba RESULTADO_FINAL_RH informarão "-" para indicar que os papéis não são desempenhados na avaliação.</t>
        </is>
      </c>
    </row>
    <row r="56">
      <c r="A56" s="382" t="n">
        <v>44986</v>
      </c>
      <c r="B56" s="272" t="inlineStr">
        <is>
          <t>Planilha de Avaliação (DADOS_AVAL)</t>
        </is>
      </c>
      <c r="C56" s="383" t="inlineStr">
        <is>
          <t>Revisão dos campos para possibilitar incluir até três representantes da empresa na avaliação inicial.</t>
        </is>
      </c>
    </row>
    <row r="57">
      <c r="A57" s="378" t="n">
        <v>44986</v>
      </c>
      <c r="B57" s="267" t="inlineStr">
        <is>
          <t>Planilha de Avaliação (DADOS_AVAL)</t>
        </is>
      </c>
      <c r="C57" s="379" t="inlineStr">
        <is>
          <t>Inclusão de campos para informar o formato (Presencial ou Remoto) da avaliação inicial e final.</t>
        </is>
      </c>
    </row>
    <row r="58">
      <c r="A58" s="378" t="n">
        <v>44986</v>
      </c>
      <c r="B58" s="267" t="inlineStr">
        <is>
          <t>Planilha de Avaliação (CRONOGRAMA_INICIAL)</t>
        </is>
      </c>
      <c r="C58" s="379" t="inlineStr">
        <is>
          <t>Ajustes nas atividades do cronograma para refletir as alterações no processo de avaliação do MA-MPS:2023.</t>
        </is>
      </c>
    </row>
    <row r="59">
      <c r="A59" s="378" t="n">
        <v>44986</v>
      </c>
      <c r="B59" s="267" t="inlineStr">
        <is>
          <t>Planilha de Avaliação (CRONOGRAMA_FINAL)</t>
        </is>
      </c>
      <c r="C59" s="379" t="inlineStr">
        <is>
          <t>Ajustes nas atividades do cronograma para refletir as alterações no processo de avaliação do MA-MPS:2023.</t>
        </is>
      </c>
    </row>
    <row r="60">
      <c r="A60" s="378" t="n">
        <v>44986</v>
      </c>
      <c r="B60" s="267" t="inlineStr">
        <is>
          <t>Planilha de Avaliação (AUDITORIA)</t>
        </is>
      </c>
      <c r="C60" s="379" t="inlineStr">
        <is>
          <t>Revisão dos itens e inclusão de notas explicativas.</t>
        </is>
      </c>
    </row>
    <row r="61">
      <c r="A61" s="378" t="n">
        <v>44986</v>
      </c>
      <c r="B61" s="267" t="inlineStr">
        <is>
          <t>Planilha de Avaliação (EQUIPE_PROJETO)</t>
        </is>
      </c>
      <c r="C61" s="379" t="inlineStr">
        <is>
          <t>Aba renomeada para EQUIPE.</t>
        </is>
      </c>
    </row>
    <row r="62">
      <c r="A62" s="378" t="n">
        <v>44986</v>
      </c>
      <c r="B62" s="381" t="inlineStr">
        <is>
          <t>Planilha de Avaliação (Geral)</t>
        </is>
      </c>
      <c r="C62" s="379" t="inlineStr">
        <is>
          <t>Ajustes diversos em fórmulas e referências cruzadas.</t>
        </is>
      </c>
    </row>
  </sheetData>
  <printOptions horizontalCentered="1" gridLines="1"/>
  <pageMargins left="0.7" right="0.7" top="0.75" bottom="0.75" header="0" footer="0"/>
  <pageSetup orientation="portrait"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2026-06-17T15:57:58Z</dcterms:created>
  <dcterms:modified xmlns:dcterms="http://purl.org/dc/terms/" xmlns:xsi="http://www.w3.org/2001/XMLSchema-instance" xsi:type="dcterms:W3CDTF">2026-06-22T15:57:09Z</dcterms:modified>
</cp:coreProperties>
</file>