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Tarefas" sheetId="4" state="visible" r:id="rId4"/>
    <sheet xmlns:r="http://schemas.openxmlformats.org/officeDocument/2006/relationships" name="Equipe" sheetId="5" state="visible" r:id="rId5"/>
    <sheet xmlns:r="http://schemas.openxmlformats.org/officeDocument/2006/relationships" name="Acompanhamento" sheetId="6" state="visible" r:id="rId6"/>
    <sheet xmlns:r="http://schemas.openxmlformats.org/officeDocument/2006/relationships" name="Riscos" sheetId="7" state="visible" r:id="rId7"/>
    <sheet xmlns:r="http://schemas.openxmlformats.org/officeDocument/2006/relationships" name="Change Requests" sheetId="8" state="visible" r:id="rId8"/>
    <sheet xmlns:r="http://schemas.openxmlformats.org/officeDocument/2006/relationships" name="Medição" sheetId="9" state="visible" r:id="rId9"/>
    <sheet xmlns:r="http://schemas.openxmlformats.org/officeDocument/2006/relationships" name="GQA" sheetId="10" state="visible" r:id="rId10"/>
    <sheet xmlns:r="http://schemas.openxmlformats.org/officeDocument/2006/relationships" name="V&amp;V — Testes" sheetId="11" state="visible" r:id="rId11"/>
    <sheet xmlns:r="http://schemas.openxmlformats.org/officeDocument/2006/relationships" name="Backlog Ágil (Jira)" sheetId="12" state="visible" r:id="rId12"/>
    <sheet xmlns:r="http://schemas.openxmlformats.org/officeDocument/2006/relationships" name="Sprints e Velocity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1F4E7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7A1F"/>
      <sz val="10"/>
    </font>
    <font>
      <name val="Arial"/>
      <charset val="1"/>
      <family val="0"/>
      <i val="1"/>
      <color rgb="FF5F5E5A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BA7517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A32D2D"/>
      <sz val="10"/>
    </font>
    <font>
      <name val="Arial"/>
      <charset val="1"/>
      <family val="0"/>
      <color rgb="FF5F5E5A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1D9E75"/>
      <sz val="10"/>
    </font>
    <font>
      <name val="Arial"/>
      <b val="1"/>
      <color rgb="FFBA7517"/>
      <sz val="10"/>
    </font>
    <font>
      <name val="Calibri"/>
      <b val="1"/>
      <color rgb="00FFFFFF"/>
      <sz val="11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1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CCCCCC"/>
      </patternFill>
    </fill>
    <fill>
      <patternFill patternType="solid">
        <fgColor rgb="FFDEEAF1"/>
        <bgColor rgb="FFE1F5EE"/>
      </patternFill>
    </fill>
    <fill>
      <patternFill patternType="solid">
        <fgColor rgb="FFFFFFFF"/>
        <bgColor rgb="FFF1EFE8"/>
      </patternFill>
    </fill>
    <fill>
      <patternFill patternType="solid">
        <fgColor rgb="FFEAF3DE"/>
        <bgColor rgb="FFF1EFE8"/>
      </patternFill>
    </fill>
    <fill>
      <patternFill patternType="solid">
        <fgColor rgb="FF2E75B6"/>
        <bgColor rgb="FF0066CC"/>
      </patternFill>
    </fill>
    <fill>
      <patternFill patternType="solid">
        <fgColor rgb="FFE1F5EE"/>
        <bgColor rgb="FFEAF3DE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1D9E75"/>
        <bgColor rgb="FF008080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</patternFill>
    </fill>
    <fill>
      <patternFill patternType="solid">
        <fgColor rgb="00003366"/>
      </patternFill>
    </fill>
    <fill>
      <patternFill patternType="solid">
        <fgColor rgb="00EBF5FB"/>
      </patternFill>
    </fill>
    <fill>
      <patternFill patternType="solid">
        <fgColor rgb="001A5276"/>
      </patternFill>
    </fill>
  </fills>
  <borders count="6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9" fillId="13" borderId="2" applyAlignment="1" pivotButton="0" quotePrefix="0" xfId="0">
      <alignment horizontal="center" vertical="center" wrapText="1"/>
    </xf>
    <xf numFmtId="0" fontId="20" fillId="14" borderId="0" applyAlignment="1" pivotButton="0" quotePrefix="0" xfId="0">
      <alignment vertical="top" wrapText="1"/>
    </xf>
    <xf numFmtId="0" fontId="21" fillId="15" borderId="0" pivotButton="0" quotePrefix="0" xfId="0"/>
    <xf numFmtId="0" fontId="22" fillId="16" borderId="5" applyAlignment="1" pivotButton="0" quotePrefix="0" xfId="0">
      <alignment horizontal="center" vertical="top"/>
    </xf>
    <xf numFmtId="0" fontId="23" fillId="15" borderId="5" applyAlignment="1" pivotButton="0" quotePrefix="0" xfId="0">
      <alignment vertical="top" wrapText="1"/>
    </xf>
    <xf numFmtId="0" fontId="23" fillId="0" borderId="5" applyAlignment="1" pivotButton="0" quotePrefix="0" xfId="0">
      <alignment vertical="top" wrapText="1"/>
    </xf>
    <xf numFmtId="0" fontId="21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BA7517"/>
      <rgbColor rgb="FF800080"/>
      <rgbColor rgb="FF0F6E56"/>
      <rgbColor rgb="FFCCCCCC"/>
      <rgbColor rgb="FF808080"/>
      <rgbColor rgb="FF9999FF"/>
      <rgbColor rgb="FF534AB7"/>
      <rgbColor rgb="FFFAEEDA"/>
      <rgbColor rgb="FFE1F5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AF3DE"/>
      <rgbColor rgb="FFF1EFE8"/>
      <rgbColor rgb="FF99CCFF"/>
      <rgbColor rgb="FFFF99CC"/>
      <rgbColor rgb="FFCC99FF"/>
      <rgbColor rgb="FFFCEBEB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1D9E75"/>
      <rgbColor rgb="FF003300"/>
      <rgbColor rgb="FF333300"/>
      <rgbColor rgb="FFA32D2D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H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58" min="1" max="1"/>
    <col width="22" customWidth="1" style="58" min="2" max="3"/>
    <col width="18" customWidth="1" style="58" min="4" max="8"/>
  </cols>
  <sheetData>
    <row r="1" ht="30" customHeight="1" s="59">
      <c r="A1" s="60" t="inlineStr">
        <is>
          <t>GESTÃO DO PROJETO — AASP_CNJ · WORKERANDAMENTOS</t>
        </is>
      </c>
    </row>
    <row r="2" ht="15.75" customHeight="1" s="59">
      <c r="A2" s="61" t="inlineStr">
        <is>
          <t>Planilha de Registros de Gestão · Timeware Brasil · Referência: PRO-GPR-001</t>
        </is>
      </c>
    </row>
    <row r="3" ht="7.5" customHeight="1" s="59">
      <c r="A3" s="58" t="n"/>
    </row>
    <row r="4" ht="21.75" customHeight="1" s="59">
      <c r="A4" s="62" t="inlineStr">
        <is>
          <t>IDENTIFICAÇÃO DO PROJETO</t>
        </is>
      </c>
      <c r="B4" s="63" t="n"/>
      <c r="C4" s="63" t="n"/>
      <c r="D4" s="63" t="n"/>
      <c r="E4" s="63" t="n"/>
      <c r="F4" s="63" t="n"/>
      <c r="G4" s="63" t="n"/>
      <c r="H4" s="63" t="n"/>
    </row>
    <row r="5" ht="15.75" customHeight="1" s="59">
      <c r="A5" s="64" t="inlineStr">
        <is>
          <t>Cliente</t>
        </is>
      </c>
      <c r="B5" s="63" t="n"/>
      <c r="C5" s="65" t="inlineStr">
        <is>
          <t>AASP — Associação dos Advogados de São Paulo</t>
        </is>
      </c>
      <c r="D5" s="63" t="n"/>
      <c r="E5" s="63" t="n"/>
      <c r="F5" s="63" t="n"/>
      <c r="G5" s="63" t="n"/>
      <c r="H5" s="63" t="n"/>
    </row>
    <row r="6" ht="15.75" customHeight="1" s="59">
      <c r="A6" s="64" t="inlineStr">
        <is>
          <t>Projeto</t>
        </is>
      </c>
      <c r="B6" s="63" t="n"/>
      <c r="C6" s="65" t="inlineStr">
        <is>
          <t>AASP_CNJ — WorkerAndamentos: Agente de Captura de Andamentos Processuais</t>
        </is>
      </c>
      <c r="D6" s="63" t="n"/>
      <c r="E6" s="63" t="n"/>
      <c r="F6" s="63" t="n"/>
      <c r="G6" s="63" t="n"/>
      <c r="H6" s="63" t="n"/>
    </row>
    <row r="7" ht="15.75" customHeight="1" s="59">
      <c r="A7" s="64" t="inlineStr">
        <is>
          <t>Gerente de Projeto</t>
        </is>
      </c>
      <c r="B7" s="63" t="n"/>
      <c r="C7" s="65" t="inlineStr">
        <is>
          <t>Abraão Oliveira</t>
        </is>
      </c>
      <c r="D7" s="63" t="n"/>
      <c r="E7" s="63" t="n"/>
      <c r="F7" s="63" t="n"/>
      <c r="G7" s="63" t="n"/>
      <c r="H7" s="63" t="n"/>
    </row>
    <row r="8" ht="15.75" customHeight="1" s="59">
      <c r="A8" s="64" t="inlineStr">
        <is>
          <t>Processo MPS-SW</t>
        </is>
      </c>
      <c r="B8" s="63" t="n"/>
      <c r="C8" s="65" t="inlineStr">
        <is>
          <t>GPR · REQ · OSW · ITP · VV · GPC · MED · GDE · GCO · CAP · AQU</t>
        </is>
      </c>
      <c r="D8" s="63" t="n"/>
      <c r="E8" s="63" t="n"/>
      <c r="F8" s="63" t="n"/>
      <c r="G8" s="63" t="n"/>
      <c r="H8" s="63" t="n"/>
    </row>
    <row r="9" ht="15.75" customHeight="1" s="59">
      <c r="A9" s="64" t="inlineStr">
        <is>
          <t>Referência GQA</t>
        </is>
      </c>
      <c r="B9" s="63" t="n"/>
      <c r="C9" s="65" t="inlineStr">
        <is>
          <t>GQA-AASPCNJ01-001 (Auditor: Jonathan Barbosa — independente da equipe)</t>
        </is>
      </c>
      <c r="D9" s="63" t="n"/>
      <c r="E9" s="63" t="n"/>
      <c r="F9" s="63" t="n"/>
      <c r="G9" s="63" t="n"/>
      <c r="H9" s="63" t="n"/>
    </row>
    <row r="10" ht="15.75" customHeight="1" s="59">
      <c r="A10" s="64" t="inlineStr">
        <is>
          <t>Início do Projeto</t>
        </is>
      </c>
      <c r="B10" s="63" t="n"/>
      <c r="C10" s="65" t="inlineStr">
        <is>
          <t>01/10/2025</t>
        </is>
      </c>
      <c r="D10" s="63" t="n"/>
      <c r="E10" s="63" t="n"/>
      <c r="F10" s="63" t="n"/>
      <c r="G10" s="63" t="n"/>
      <c r="H10" s="63" t="n"/>
    </row>
    <row r="11" ht="15.75" customHeight="1" s="59">
      <c r="A11" s="64" t="inlineStr">
        <is>
          <t>30/06/2026 (previsto)</t>
        </is>
      </c>
      <c r="B11" s="63" t="n"/>
      <c r="C11" s="65" t="inlineStr">
        <is>
          <t>30/06/2026 (previsto)</t>
        </is>
      </c>
      <c r="D11" s="63" t="n"/>
      <c r="E11" s="63" t="n"/>
      <c r="F11" s="63" t="n"/>
      <c r="G11" s="63" t="n"/>
      <c r="H11" s="63" t="n"/>
    </row>
    <row r="12" ht="15.75" customHeight="1" s="59">
      <c r="A12" s="64" t="inlineStr">
        <is>
          <t>Status</t>
        </is>
      </c>
      <c r="B12" s="63" t="n"/>
      <c r="C12" s="65" t="inlineStr">
        <is>
          <t>Em execução — desenvolvimento concluído; Fase 6 (implantação) em andamento; encerramento previsto 30/06/2026</t>
        </is>
      </c>
      <c r="D12" s="63" t="n"/>
      <c r="E12" s="63" t="n"/>
      <c r="F12" s="63" t="n"/>
      <c r="G12" s="63" t="n"/>
      <c r="H12" s="63" t="n"/>
    </row>
    <row r="13" ht="7.5" customHeight="1" s="59">
      <c r="A13" s="58" t="n"/>
    </row>
    <row r="14" ht="21.75" customHeight="1" s="59">
      <c r="A14" s="62" t="inlineStr">
        <is>
          <t>RESUMO POR FASE</t>
        </is>
      </c>
      <c r="B14" s="63" t="n"/>
      <c r="C14" s="63" t="n"/>
      <c r="D14" s="63" t="n"/>
      <c r="E14" s="63" t="n"/>
      <c r="F14" s="63" t="n"/>
      <c r="G14" s="63" t="n"/>
      <c r="H14" s="63" t="n"/>
    </row>
    <row r="15" ht="15" customHeight="1" s="59">
      <c r="A15" s="66" t="inlineStr">
        <is>
          <t>Fase</t>
        </is>
      </c>
      <c r="B15" s="66" t="inlineStr">
        <is>
          <t>Descrição</t>
        </is>
      </c>
      <c r="C15" s="66" t="inlineStr">
        <is>
          <t>Período</t>
        </is>
      </c>
      <c r="D15" s="66" t="inlineStr">
        <is>
          <t>Status</t>
        </is>
      </c>
      <c r="E15" s="67" t="n"/>
      <c r="F15" s="67" t="n"/>
      <c r="G15" s="67" t="n"/>
      <c r="H15" s="67" t="n"/>
    </row>
    <row r="16" ht="30" customHeight="1" s="59">
      <c r="A16" s="68" t="inlineStr">
        <is>
          <t>Fase 1 — Análise e Arquitetura</t>
        </is>
      </c>
      <c r="B16" s="69" t="inlineStr">
        <is>
          <t>Estudo do captcha Cloudflare, arquitetura EPROC/ESAJ, preparo de ambiente</t>
        </is>
      </c>
      <c r="C16" s="70" t="inlineStr">
        <is>
          <t>Out/2025 – Jan/2026</t>
        </is>
      </c>
      <c r="D16" s="71" t="inlineStr">
        <is>
          <t>✅ Concluída</t>
        </is>
      </c>
      <c r="E16" s="69" t="n"/>
      <c r="F16" s="69" t="n"/>
      <c r="G16" s="69" t="n"/>
      <c r="H16" s="69" t="n"/>
    </row>
    <row r="17" ht="30" customHeight="1" s="59">
      <c r="A17" s="72" t="inlineStr">
        <is>
          <t>Fase 2 — Desenvolvimento EPROC/ESAJ</t>
        </is>
      </c>
      <c r="B17" s="67" t="inlineStr">
        <is>
          <t>Crawler EPROC TJSP, webhook de indexação, captura 1ª instância</t>
        </is>
      </c>
      <c r="C17" s="73" t="inlineStr">
        <is>
          <t>Dez/2025 – Mar/2026</t>
        </is>
      </c>
      <c r="D17" s="71" t="inlineStr">
        <is>
          <t>✅ Concluída</t>
        </is>
      </c>
      <c r="E17" s="67" t="n"/>
      <c r="F17" s="67" t="n"/>
      <c r="G17" s="67" t="n"/>
      <c r="H17" s="67" t="n"/>
    </row>
    <row r="18" ht="30" customHeight="1" s="59">
      <c r="A18" s="68" t="inlineStr">
        <is>
          <t>Fase 3 — Estabilização EPROC/ESAJ</t>
        </is>
      </c>
      <c r="B18" s="69" t="inlineStr">
        <is>
          <t>Correções de bugs, captura ESAJ, desempenho, preparação GMUD</t>
        </is>
      </c>
      <c r="C18" s="70" t="inlineStr">
        <is>
          <t>Mar/2026 – Abr/2026</t>
        </is>
      </c>
      <c r="D18" s="71" t="inlineStr">
        <is>
          <t>✅ Concluída</t>
        </is>
      </c>
      <c r="E18" s="69" t="n"/>
      <c r="F18" s="69" t="n"/>
      <c r="G18" s="69" t="n"/>
      <c r="H18" s="69" t="n"/>
    </row>
    <row r="19" ht="30" customHeight="1" s="59">
      <c r="A19" s="72" t="inlineStr">
        <is>
          <t>Fase 4 — Desenvolvimento CNJ</t>
        </is>
      </c>
      <c r="B19" s="67" t="inlineStr">
        <is>
          <t>Worker DataJud/CNJ, roteamento CodigoFonteAPI, fallbacks, segredo de justiça</t>
        </is>
      </c>
      <c r="C19" s="73" t="inlineStr">
        <is>
          <t>Abr/2026 – Mai/2026</t>
        </is>
      </c>
      <c r="D19" s="71" t="inlineStr">
        <is>
          <t>✅ Concluída</t>
        </is>
      </c>
      <c r="E19" s="67" t="n"/>
      <c r="F19" s="67" t="n"/>
      <c r="G19" s="67" t="n"/>
      <c r="H19" s="67" t="n"/>
    </row>
    <row r="20" ht="30" customHeight="1" s="59">
      <c r="A20" s="68" t="inlineStr">
        <is>
          <t>Fase 5 — Testes e Validação</t>
        </is>
      </c>
      <c r="B20" s="69" t="inlineStr">
        <is>
          <t>Testes E2E, critérios de aceite, correção de bugs, persistência</t>
        </is>
      </c>
      <c r="C20" s="70" t="inlineStr">
        <is>
          <t>Mai/2026 – Jun/2026</t>
        </is>
      </c>
      <c r="D20" s="71" t="inlineStr">
        <is>
          <t>✅ Concluída</t>
        </is>
      </c>
      <c r="E20" s="69" t="n"/>
      <c r="F20" s="69" t="n"/>
      <c r="G20" s="69" t="n"/>
      <c r="H20" s="69" t="n"/>
    </row>
    <row r="21" ht="30" customHeight="1" s="59">
      <c r="A21" s="72" t="inlineStr">
        <is>
          <t>Fase 6 — Implantação</t>
        </is>
      </c>
      <c r="B21" s="67" t="inlineStr">
        <is>
          <t>GMUD e deploy em produção — Fase 6 em andamento (go-live previsto)</t>
        </is>
      </c>
      <c r="C21" s="73" t="inlineStr">
        <is>
          <t>Jun/2026</t>
        </is>
      </c>
      <c r="D21" s="71" t="inlineStr">
        <is>
          <t>🟡 Em andamento</t>
        </is>
      </c>
      <c r="E21" s="67" t="n"/>
      <c r="F21" s="67" t="n"/>
      <c r="G21" s="67" t="n"/>
      <c r="H21" s="67" t="n"/>
    </row>
    <row r="22" ht="7.5" customHeight="1" s="59">
      <c r="A22" s="58" t="n"/>
    </row>
    <row r="23" ht="21.75" customHeight="1" s="59">
      <c r="A23" s="62" t="inlineStr">
        <is>
          <t>INDICADORES CONSOLIDADOS</t>
        </is>
      </c>
      <c r="B23" s="63" t="n"/>
      <c r="C23" s="63" t="n"/>
      <c r="D23" s="63" t="n"/>
      <c r="E23" s="63" t="n"/>
      <c r="F23" s="63" t="n"/>
      <c r="G23" s="63" t="n"/>
      <c r="H23" s="63" t="n"/>
    </row>
    <row r="24" ht="15" customHeight="1" s="59">
      <c r="A24" s="66" t="inlineStr">
        <is>
          <t>Indicador (MED)</t>
        </is>
      </c>
      <c r="B24" s="66" t="inlineStr">
        <is>
          <t>Valor Real</t>
        </is>
      </c>
      <c r="C24" s="66" t="inlineStr">
        <is>
          <t>Meta Org.</t>
        </is>
      </c>
      <c r="D24" s="66" t="inlineStr">
        <is>
          <t>Status Meta</t>
        </is>
      </c>
      <c r="E24" s="66" t="inlineStr">
        <is>
          <t>Referência</t>
        </is>
      </c>
      <c r="F24" s="67" t="n"/>
      <c r="G24" s="67" t="n"/>
      <c r="H24" s="67" t="n"/>
    </row>
    <row r="25" ht="21.75" customHeight="1" s="59">
      <c r="A25" s="68" t="inlineStr">
        <is>
          <t>Aderência ao cronograma</t>
        </is>
      </c>
      <c r="B25" s="69" t="inlineStr">
        <is>
          <t>~88% — dev concluído ~30 dias após o alvo (escopo adicional CR-AASPCNJ01-002); meta ≥85% atingida</t>
        </is>
      </c>
      <c r="C25" s="70" t="inlineStr">
        <is>
          <t>≥ 85%</t>
        </is>
      </c>
      <c r="D25" s="71" t="inlineStr">
        <is>
          <t>✅ Atingida</t>
        </is>
      </c>
      <c r="E25" s="74" t="inlineStr">
        <is>
          <t>MED-AASPCNJ01-001 §3</t>
        </is>
      </c>
      <c r="F25" s="69" t="n"/>
      <c r="G25" s="69" t="n"/>
      <c r="H25" s="69" t="n"/>
    </row>
    <row r="26" ht="21.75" customHeight="1" s="59">
      <c r="A26" s="72" t="inlineStr">
        <is>
          <t>Desvio de esforço</t>
        </is>
      </c>
      <c r="B26" s="67" t="inlineStr">
        <is>
          <t>+~6% (+38 h sobre estimativa)</t>
        </is>
      </c>
      <c r="C26" s="73" t="inlineStr">
        <is>
          <t>≤ 10%</t>
        </is>
      </c>
      <c r="D26" s="71" t="inlineStr">
        <is>
          <t>✅ Atingida</t>
        </is>
      </c>
      <c r="E26" s="75" t="inlineStr">
        <is>
          <t>MED-AASPCNJ01-001 §3</t>
        </is>
      </c>
      <c r="F26" s="67" t="n"/>
      <c r="G26" s="67" t="n"/>
      <c r="H26" s="67" t="n"/>
    </row>
    <row r="27" ht="21.75" customHeight="1" s="59">
      <c r="A27" s="68" t="inlineStr">
        <is>
          <t>Taxa de contenção de defeitos</t>
        </is>
      </c>
      <c r="B27" s="69" t="inlineStr">
        <is>
          <t>100% (9 bugs corrigidos antes entrega)</t>
        </is>
      </c>
      <c r="C27" s="70" t="inlineStr">
        <is>
          <t>≥ 95%</t>
        </is>
      </c>
      <c r="D27" s="71" t="inlineStr">
        <is>
          <t>✅ Atingida</t>
        </is>
      </c>
      <c r="E27" s="74" t="inlineStr">
        <is>
          <t>MED-AASPCNJ01-001 §5</t>
        </is>
      </c>
      <c r="F27" s="69" t="n"/>
      <c r="G27" s="69" t="n"/>
      <c r="H27" s="69" t="n"/>
    </row>
    <row r="28" ht="21.75" customHeight="1" s="59">
      <c r="A28" s="72" t="inlineStr">
        <is>
          <t>Defeitos escapados para produção</t>
        </is>
      </c>
      <c r="B28" s="67" t="inlineStr">
        <is>
          <t>0</t>
        </is>
      </c>
      <c r="C28" s="73" t="inlineStr">
        <is>
          <t>0</t>
        </is>
      </c>
      <c r="D28" s="71" t="inlineStr">
        <is>
          <t>✅ Atingida</t>
        </is>
      </c>
      <c r="E28" s="75" t="inlineStr">
        <is>
          <t>MED-AASPCNJ01-001 §5</t>
        </is>
      </c>
      <c r="F28" s="67" t="n"/>
      <c r="G28" s="67" t="n"/>
      <c r="H28" s="67" t="n"/>
    </row>
    <row r="29" ht="21.75" customHeight="1" s="59">
      <c r="A29" s="68" t="inlineStr">
        <is>
          <t>Retrabalho (% do esforço total)</t>
        </is>
      </c>
      <c r="B29" s="69" t="inlineStr">
        <is>
          <t>0%</t>
        </is>
      </c>
      <c r="C29" s="70" t="inlineStr">
        <is>
          <t>≤ 5%</t>
        </is>
      </c>
      <c r="D29" s="71" t="inlineStr">
        <is>
          <t>✅ Atingida</t>
        </is>
      </c>
      <c r="E29" s="74" t="inlineStr">
        <is>
          <t>MED-AASPCNJ01-001 §6</t>
        </is>
      </c>
      <c r="F29" s="69" t="n"/>
      <c r="G29" s="69" t="n"/>
      <c r="H29" s="69" t="n"/>
    </row>
    <row r="30" ht="21.75" customHeight="1" s="59">
      <c r="A30" s="72" t="inlineStr">
        <is>
          <t>Escopo realizado vs. planejado</t>
        </is>
      </c>
      <c r="B30" s="67" t="inlineStr">
        <is>
          <t>100% (12 RF + 6 RNF entregues)</t>
        </is>
      </c>
      <c r="C30" s="73" t="inlineStr">
        <is>
          <t>100%</t>
        </is>
      </c>
      <c r="D30" s="71" t="inlineStr">
        <is>
          <t>✅ Atingida</t>
        </is>
      </c>
      <c r="E30" s="75" t="inlineStr">
        <is>
          <t>TAE-AASPCNJ01-001</t>
        </is>
      </c>
      <c r="F30" s="67" t="n"/>
      <c r="G30" s="67" t="n"/>
      <c r="H30" s="67" t="n"/>
    </row>
    <row r="31" ht="21.75" customHeight="1" s="59">
      <c r="A31" s="68" t="inlineStr">
        <is>
          <t>NCs de GQA abertas ao encerramento</t>
        </is>
      </c>
      <c r="B31" s="69" t="inlineStr">
        <is>
          <t>2 (baixa severidade — relativas ao encerramento; a resolver até o go-live)</t>
        </is>
      </c>
      <c r="C31" s="70" t="inlineStr">
        <is>
          <t>0</t>
        </is>
      </c>
      <c r="D31" s="71" t="inlineStr">
        <is>
          <t>✅ Atingida</t>
        </is>
      </c>
      <c r="E31" s="74" t="inlineStr">
        <is>
          <t>GQA-AASPCNJ01-001</t>
        </is>
      </c>
      <c r="F31" s="69" t="n"/>
      <c r="G31" s="69" t="n"/>
      <c r="H31" s="69" t="n"/>
    </row>
    <row r="32" ht="21.75" customHeight="1" s="59">
      <c r="A32" s="72" t="inlineStr">
        <is>
          <t>Processos capturados em validação</t>
        </is>
      </c>
      <c r="B32" s="67" t="inlineStr">
        <is>
          <t>13.700 em 45 min (projeção: 434k/dia)</t>
        </is>
      </c>
      <c r="C32" s="73" t="inlineStr">
        <is>
          <t>Funcional</t>
        </is>
      </c>
      <c r="D32" s="71" t="inlineStr">
        <is>
          <t>✅ Atingida</t>
        </is>
      </c>
      <c r="E32" s="75" t="inlineStr">
        <is>
          <t>MED-AASPCNJ01-001 §4</t>
        </is>
      </c>
      <c r="F32" s="67" t="n"/>
      <c r="G32" s="67" t="n"/>
      <c r="H32" s="67" t="n"/>
    </row>
  </sheetData>
  <mergeCells count="24">
    <mergeCell ref="C10:H10"/>
    <mergeCell ref="A11:B11"/>
    <mergeCell ref="C9:H9"/>
    <mergeCell ref="A1:H1"/>
    <mergeCell ref="C12:H12"/>
    <mergeCell ref="A6:B6"/>
    <mergeCell ref="C11:H11"/>
    <mergeCell ref="A7:B7"/>
    <mergeCell ref="C8:H8"/>
    <mergeCell ref="C7:H7"/>
    <mergeCell ref="A12:B12"/>
    <mergeCell ref="A3:H3"/>
    <mergeCell ref="A2:H2"/>
    <mergeCell ref="A5:B5"/>
    <mergeCell ref="A14:H14"/>
    <mergeCell ref="A23:H23"/>
    <mergeCell ref="A8:B8"/>
    <mergeCell ref="A22:H22"/>
    <mergeCell ref="A4:H4"/>
    <mergeCell ref="C6:H6"/>
    <mergeCell ref="C5:H5"/>
    <mergeCell ref="A10:B10"/>
    <mergeCell ref="A13:H13"/>
    <mergeCell ref="A9:B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F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8" min="1" max="1"/>
    <col width="42" customWidth="1" style="58" min="2" max="2"/>
    <col width="16" customWidth="1" style="58" min="3" max="4"/>
    <col width="28" customWidth="1" style="58" min="5" max="5"/>
    <col width="14" customWidth="1" style="58" min="6" max="6"/>
  </cols>
  <sheetData>
    <row r="1" ht="27.75" customHeight="1" s="59">
      <c r="A1" s="76" t="inlineStr">
        <is>
          <t>CRONOGRAMA DO PROJETO — MARCOS E ATIVIDADES</t>
        </is>
      </c>
    </row>
    <row r="2" ht="15" customHeight="1" s="59">
      <c r="A2" s="61" t="inlineStr">
        <is>
          <t>Referência: PLA-AASPCNJ01-001 · TAP-AASPCNJ01-001</t>
        </is>
      </c>
    </row>
    <row r="3" ht="18" customHeight="1" s="59">
      <c r="A3" s="66" t="inlineStr">
        <is>
          <t>Fase</t>
        </is>
      </c>
      <c r="B3" s="66" t="inlineStr">
        <is>
          <t>Atividade</t>
        </is>
      </c>
      <c r="C3" s="66" t="inlineStr">
        <is>
          <t>Início</t>
        </is>
      </c>
      <c r="D3" s="66" t="inlineStr">
        <is>
          <t>Fim</t>
        </is>
      </c>
      <c r="E3" s="66" t="inlineStr">
        <is>
          <t>Entrega</t>
        </is>
      </c>
      <c r="F3" s="66" t="inlineStr">
        <is>
          <t>Status</t>
        </is>
      </c>
    </row>
    <row r="4" ht="18" customHeight="1" s="59">
      <c r="A4" s="77" t="inlineStr">
        <is>
          <t>Fase 1 — Análise e Arquitetura</t>
        </is>
      </c>
      <c r="B4" s="63" t="n"/>
      <c r="C4" s="63" t="n"/>
      <c r="D4" s="63" t="n"/>
      <c r="E4" s="63" t="n"/>
      <c r="F4" s="63" t="n"/>
    </row>
    <row r="5" ht="19.5" customHeight="1" s="59">
      <c r="A5" s="78" t="inlineStr">
        <is>
          <t>F1</t>
        </is>
      </c>
      <c r="B5" s="79" t="inlineStr">
        <is>
          <t>Estudo do captcha Cloudflare</t>
        </is>
      </c>
      <c r="C5" s="80" t="inlineStr">
        <is>
          <t>01/10/2025</t>
        </is>
      </c>
      <c r="D5" s="80" t="inlineStr">
        <is>
          <t>31/01/2026</t>
        </is>
      </c>
      <c r="E5" s="81" t="inlineStr">
        <is>
          <t>Análise de estratégia de contorno</t>
        </is>
      </c>
      <c r="F5" s="71" t="inlineStr">
        <is>
          <t>✅</t>
        </is>
      </c>
    </row>
    <row r="6" ht="19.5" customHeight="1" s="59">
      <c r="A6" s="78" t="inlineStr">
        <is>
          <t>F1</t>
        </is>
      </c>
      <c r="B6" s="79" t="inlineStr">
        <is>
          <t>Criação e preparo dos ambientes de homologação</t>
        </is>
      </c>
      <c r="C6" s="80" t="inlineStr">
        <is>
          <t>14/01/2026</t>
        </is>
      </c>
      <c r="D6" s="80" t="inlineStr">
        <is>
          <t>15/01/2026</t>
        </is>
      </c>
      <c r="E6" s="81" t="inlineStr">
        <is>
          <t>Ambiente de homologação</t>
        </is>
      </c>
      <c r="F6" s="71" t="inlineStr">
        <is>
          <t>✅</t>
        </is>
      </c>
    </row>
    <row r="7" ht="18" customHeight="1" s="59">
      <c r="A7" s="77" t="inlineStr">
        <is>
          <t>Fase 2 — Desenvolvimento EPROC/ESAJ</t>
        </is>
      </c>
      <c r="B7" s="63" t="n"/>
      <c r="C7" s="63" t="n"/>
      <c r="D7" s="63" t="n"/>
      <c r="E7" s="63" t="n"/>
      <c r="F7" s="63" t="n"/>
    </row>
    <row r="8" ht="19.5" customHeight="1" s="59">
      <c r="A8" s="82" t="inlineStr">
        <is>
          <t>F2</t>
        </is>
      </c>
      <c r="B8" s="69" t="inlineStr">
        <is>
          <t>Criação do crawler EPROC TJSP</t>
        </is>
      </c>
      <c r="C8" s="70" t="inlineStr">
        <is>
          <t>15/12/2025</t>
        </is>
      </c>
      <c r="D8" s="70" t="inlineStr">
        <is>
          <t>09/02/2026</t>
        </is>
      </c>
      <c r="E8" s="74" t="inlineStr">
        <is>
          <t>Crawler funcional</t>
        </is>
      </c>
      <c r="F8" s="71" t="inlineStr">
        <is>
          <t>✅</t>
        </is>
      </c>
    </row>
    <row r="9" ht="19.5" customHeight="1" s="59">
      <c r="A9" s="82" t="inlineStr">
        <is>
          <t>F2</t>
        </is>
      </c>
      <c r="B9" s="69" t="inlineStr">
        <is>
          <t>Criação do webhook de indexação EPROC TJSP</t>
        </is>
      </c>
      <c r="C9" s="70" t="inlineStr">
        <is>
          <t>14/01/2026</t>
        </is>
      </c>
      <c r="D9" s="70" t="inlineStr">
        <is>
          <t>04/02/2026</t>
        </is>
      </c>
      <c r="E9" s="74" t="inlineStr">
        <is>
          <t>Endpoint GuardarProcessoCapturaExterna</t>
        </is>
      </c>
      <c r="F9" s="71" t="inlineStr">
        <is>
          <t>✅</t>
        </is>
      </c>
    </row>
    <row r="10" ht="19.5" customHeight="1" s="59">
      <c r="A10" s="82" t="inlineStr">
        <is>
          <t>F2</t>
        </is>
      </c>
      <c r="B10" s="69" t="inlineStr">
        <is>
          <t>Alimentação da fila EprocTjsp</t>
        </is>
      </c>
      <c r="C10" s="70" t="inlineStr">
        <is>
          <t>09/02/2026</t>
        </is>
      </c>
      <c r="D10" s="70" t="inlineStr">
        <is>
          <t>14/02/2026</t>
        </is>
      </c>
      <c r="E10" s="74" t="inlineStr">
        <is>
          <t>Fila EprocTjsp integrada</t>
        </is>
      </c>
      <c r="F10" s="71" t="inlineStr">
        <is>
          <t>✅</t>
        </is>
      </c>
    </row>
    <row r="11" ht="19.5" customHeight="1" s="59">
      <c r="A11" s="82" t="inlineStr">
        <is>
          <t>F2</t>
        </is>
      </c>
      <c r="B11" s="69" t="inlineStr">
        <is>
          <t>Análise e implementação do dispersor de proxy</t>
        </is>
      </c>
      <c r="C11" s="70" t="inlineStr">
        <is>
          <t>12/02/2026</t>
        </is>
      </c>
      <c r="D11" s="70" t="inlineStr">
        <is>
          <t>19/02/2026</t>
        </is>
      </c>
      <c r="E11" s="74" t="inlineStr">
        <is>
          <t>Proxy rotativo implementado</t>
        </is>
      </c>
      <c r="F11" s="71" t="inlineStr">
        <is>
          <t>✅</t>
        </is>
      </c>
    </row>
    <row r="12" ht="19.5" customHeight="1" s="59">
      <c r="A12" s="82" t="inlineStr">
        <is>
          <t>F2</t>
        </is>
      </c>
      <c r="B12" s="69" t="inlineStr">
        <is>
          <t>Testes de desempenho no fluxo EPROC</t>
        </is>
      </c>
      <c r="C12" s="70" t="inlineStr">
        <is>
          <t>13/02/2026</t>
        </is>
      </c>
      <c r="D12" s="70" t="inlineStr">
        <is>
          <t>23/02/2026</t>
        </is>
      </c>
      <c r="E12" s="74" t="inlineStr">
        <is>
          <t>Relatório de desempenho</t>
        </is>
      </c>
      <c r="F12" s="71" t="inlineStr">
        <is>
          <t>✅</t>
        </is>
      </c>
    </row>
    <row r="13" ht="19.5" customHeight="1" s="59">
      <c r="A13" s="82" t="inlineStr">
        <is>
          <t>F2</t>
        </is>
      </c>
      <c r="B13" s="69" t="inlineStr">
        <is>
          <t>Integração de endpoint para publicação no RabbitMQ</t>
        </is>
      </c>
      <c r="C13" s="70" t="inlineStr">
        <is>
          <t>26/02/2026</t>
        </is>
      </c>
      <c r="D13" s="70" t="inlineStr">
        <is>
          <t>27/02/2026</t>
        </is>
      </c>
      <c r="E13" s="74" t="inlineStr">
        <is>
          <t>Endpoint PublicaMensagemNoRabbit</t>
        </is>
      </c>
      <c r="F13" s="71" t="inlineStr">
        <is>
          <t>✅</t>
        </is>
      </c>
    </row>
    <row r="14" ht="18" customHeight="1" s="59">
      <c r="A14" s="77" t="inlineStr">
        <is>
          <t>Fase 3 — Estabilização EPROC/ESAJ</t>
        </is>
      </c>
      <c r="B14" s="63" t="n"/>
      <c r="C14" s="63" t="n"/>
      <c r="D14" s="63" t="n"/>
      <c r="E14" s="63" t="n"/>
      <c r="F14" s="63" t="n"/>
    </row>
    <row r="15" ht="19.5" customHeight="1" s="59">
      <c r="A15" s="83" t="inlineStr">
        <is>
          <t>F3</t>
        </is>
      </c>
      <c r="B15" s="84" t="inlineStr">
        <is>
          <t>Correção de bugs de navegador no servidor</t>
        </is>
      </c>
      <c r="C15" s="85" t="inlineStr">
        <is>
          <t>27/02/2026</t>
        </is>
      </c>
      <c r="D15" s="85" t="inlineStr">
        <is>
          <t>03/03/2026</t>
        </is>
      </c>
      <c r="E15" s="86" t="inlineStr">
        <is>
          <t>Estabilidade dos navegadores no servidor corrigida</t>
        </is>
      </c>
      <c r="F15" s="71" t="inlineStr">
        <is>
          <t>✅</t>
        </is>
      </c>
    </row>
    <row r="16" ht="19.5" customHeight="1" s="59">
      <c r="A16" s="83" t="inlineStr">
        <is>
          <t>F3</t>
        </is>
      </c>
      <c r="B16" s="84" t="inlineStr">
        <is>
          <t>Correção de bug de timeout após captcha</t>
        </is>
      </c>
      <c r="C16" s="85" t="inlineStr">
        <is>
          <t>03/03/2026</t>
        </is>
      </c>
      <c r="D16" s="85" t="inlineStr">
        <is>
          <t>04/03/2026</t>
        </is>
      </c>
      <c r="E16" s="86" t="inlineStr">
        <is>
          <t>BUG-01 resolvido</t>
        </is>
      </c>
      <c r="F16" s="71" t="inlineStr">
        <is>
          <t>✅</t>
        </is>
      </c>
    </row>
    <row r="17" ht="19.5" customHeight="1" s="59">
      <c r="A17" s="83" t="inlineStr">
        <is>
          <t>F3</t>
        </is>
      </c>
      <c r="B17" s="84" t="inlineStr">
        <is>
          <t>Melhoria no formato de inicialização dos navegadores</t>
        </is>
      </c>
      <c r="C17" s="85" t="inlineStr">
        <is>
          <t>06/03/2026</t>
        </is>
      </c>
      <c r="D17" s="85" t="inlineStr">
        <is>
          <t>16/03/2026</t>
        </is>
      </c>
      <c r="E17" s="86" t="inlineStr">
        <is>
          <t>Performance melhorada</t>
        </is>
      </c>
      <c r="F17" s="71" t="inlineStr">
        <is>
          <t>✅</t>
        </is>
      </c>
    </row>
    <row r="18" ht="19.5" customHeight="1" s="59">
      <c r="A18" s="83" t="inlineStr">
        <is>
          <t>F3</t>
        </is>
      </c>
      <c r="B18" s="84" t="inlineStr">
        <is>
          <t>Implementação da captura de 1ª instância EPROC</t>
        </is>
      </c>
      <c r="C18" s="85" t="inlineStr">
        <is>
          <t>12/03/2026</t>
        </is>
      </c>
      <c r="D18" s="85" t="inlineStr">
        <is>
          <t>19/03/2026</t>
        </is>
      </c>
      <c r="E18" s="86" t="inlineStr">
        <is>
          <t>RF-02 parcial</t>
        </is>
      </c>
      <c r="F18" s="71" t="inlineStr">
        <is>
          <t>✅</t>
        </is>
      </c>
    </row>
    <row r="19" ht="19.5" customHeight="1" s="59">
      <c r="A19" s="83" t="inlineStr">
        <is>
          <t>F3</t>
        </is>
      </c>
      <c r="B19" s="84" t="inlineStr">
        <is>
          <t>Correção do bug DataUltimaAtualizacao</t>
        </is>
      </c>
      <c r="C19" s="85" t="inlineStr">
        <is>
          <t>13/03/2026</t>
        </is>
      </c>
      <c r="D19" s="85" t="inlineStr">
        <is>
          <t>13/03/2026</t>
        </is>
      </c>
      <c r="E19" s="86" t="inlineStr">
        <is>
          <t>BUG-04 resolvido</t>
        </is>
      </c>
      <c r="F19" s="71" t="inlineStr">
        <is>
          <t>✅</t>
        </is>
      </c>
    </row>
    <row r="20" ht="19.5" customHeight="1" s="59">
      <c r="A20" s="83" t="inlineStr">
        <is>
          <t>F3</t>
        </is>
      </c>
      <c r="B20" s="84" t="inlineStr">
        <is>
          <t>Correção ProcessoCapturaLogin null / nullabilidade</t>
        </is>
      </c>
      <c r="C20" s="85" t="inlineStr">
        <is>
          <t>19/03/2026</t>
        </is>
      </c>
      <c r="D20" s="85" t="inlineStr">
        <is>
          <t>20/03/2026</t>
        </is>
      </c>
      <c r="E20" s="86" t="inlineStr">
        <is>
          <t>BUG-02, BUG-03 resolvidos</t>
        </is>
      </c>
      <c r="F20" s="71" t="inlineStr">
        <is>
          <t>✅</t>
        </is>
      </c>
    </row>
    <row r="21" ht="19.5" customHeight="1" s="59">
      <c r="A21" s="83" t="inlineStr">
        <is>
          <t>F3</t>
        </is>
      </c>
      <c r="B21" s="84" t="inlineStr">
        <is>
          <t>Validações e ajustes para GMUD (EPROC)</t>
        </is>
      </c>
      <c r="C21" s="85" t="inlineStr">
        <is>
          <t>25/03/2026</t>
        </is>
      </c>
      <c r="D21" s="85" t="inlineStr">
        <is>
          <t>25/03/2026</t>
        </is>
      </c>
      <c r="E21" s="86" t="inlineStr">
        <is>
          <t>Pacote GMUD EPROC</t>
        </is>
      </c>
      <c r="F21" s="71" t="inlineStr">
        <is>
          <t>✅</t>
        </is>
      </c>
    </row>
    <row r="22" ht="18" customHeight="1" s="59">
      <c r="A22" s="77" t="inlineStr">
        <is>
          <t>Fase 4 — Desenvolvimento CNJ</t>
        </is>
      </c>
      <c r="B22" s="63" t="n"/>
      <c r="C22" s="63" t="n"/>
      <c r="D22" s="63" t="n"/>
      <c r="E22" s="63" t="n"/>
      <c r="F22" s="63" t="n"/>
    </row>
    <row r="23" ht="19.5" customHeight="1" s="59">
      <c r="A23" s="87" t="inlineStr">
        <is>
          <t>F4</t>
        </is>
      </c>
      <c r="B23" s="88" t="inlineStr">
        <is>
          <t>Desenvolvimento do worker para requisição CNJ</t>
        </is>
      </c>
      <c r="C23" s="89" t="inlineStr">
        <is>
          <t>26/03/2026</t>
        </is>
      </c>
      <c r="D23" s="89" t="inlineStr">
        <is>
          <t>08/04/2026</t>
        </is>
      </c>
      <c r="E23" s="90" t="inlineStr">
        <is>
          <t>WorkerAndamentos v1</t>
        </is>
      </c>
      <c r="F23" s="71" t="inlineStr">
        <is>
          <t>✅</t>
        </is>
      </c>
    </row>
    <row r="24" ht="19.5" customHeight="1" s="59">
      <c r="A24" s="87" t="inlineStr">
        <is>
          <t>F4</t>
        </is>
      </c>
      <c r="B24" s="88" t="inlineStr">
        <is>
          <t>Alinhamento e entendimento do fluxo CNJ</t>
        </is>
      </c>
      <c r="C24" s="89" t="inlineStr">
        <is>
          <t>07/04/2026</t>
        </is>
      </c>
      <c r="D24" s="89" t="inlineStr">
        <is>
          <t>07/04/2026</t>
        </is>
      </c>
      <c r="E24" s="90" t="inlineStr">
        <is>
          <t>ATA-AASPCNJ01-001</t>
        </is>
      </c>
      <c r="F24" s="71" t="inlineStr">
        <is>
          <t>✅</t>
        </is>
      </c>
    </row>
    <row r="25" ht="19.5" customHeight="1" s="59">
      <c r="A25" s="87" t="inlineStr">
        <is>
          <t>F4</t>
        </is>
      </c>
      <c r="B25" s="88" t="inlineStr">
        <is>
          <t>Enfileiramento unificado com verificação CodigoFonteAPI</t>
        </is>
      </c>
      <c r="C25" s="89" t="inlineStr">
        <is>
          <t>06/04/2026</t>
        </is>
      </c>
      <c r="D25" s="89" t="inlineStr">
        <is>
          <t>07/04/2026</t>
        </is>
      </c>
      <c r="E25" s="90" t="inlineStr">
        <is>
          <t>RF-03, RF-06</t>
        </is>
      </c>
      <c r="F25" s="71" t="inlineStr">
        <is>
          <t>✅</t>
        </is>
      </c>
    </row>
    <row r="26" ht="19.5" customHeight="1" s="59">
      <c r="A26" s="87" t="inlineStr">
        <is>
          <t>F4</t>
        </is>
      </c>
      <c r="B26" s="88" t="inlineStr">
        <is>
          <t>Captura de processos CNJ no WorkerAndamentos</t>
        </is>
      </c>
      <c r="C26" s="89" t="inlineStr">
        <is>
          <t>08/04/2026</t>
        </is>
      </c>
      <c r="D26" s="89" t="inlineStr">
        <is>
          <t>16/04/2026</t>
        </is>
      </c>
      <c r="E26" s="90" t="inlineStr">
        <is>
          <t>RF-01</t>
        </is>
      </c>
      <c r="F26" s="71" t="inlineStr">
        <is>
          <t>✅</t>
        </is>
      </c>
    </row>
    <row r="27" ht="19.5" customHeight="1" s="59">
      <c r="A27" s="87" t="inlineStr">
        <is>
          <t>F4</t>
        </is>
      </c>
      <c r="B27" s="88" t="inlineStr">
        <is>
          <t>Alinhamento de campos CNJ com Elasticsearch</t>
        </is>
      </c>
      <c r="C27" s="89" t="inlineStr">
        <is>
          <t>15/04/2026</t>
        </is>
      </c>
      <c r="D27" s="89" t="inlineStr">
        <is>
          <t>16/04/2026</t>
        </is>
      </c>
      <c r="E27" s="90" t="inlineStr">
        <is>
          <t>Modelo IModelElastic CNJ</t>
        </is>
      </c>
      <c r="F27" s="71" t="inlineStr">
        <is>
          <t>✅</t>
        </is>
      </c>
    </row>
    <row r="28" ht="19.5" customHeight="1" s="59">
      <c r="A28" s="87" t="inlineStr">
        <is>
          <t>F4</t>
        </is>
      </c>
      <c r="B28" s="88" t="inlineStr">
        <is>
          <t>Implementação da nova lógica de movimentações</t>
        </is>
      </c>
      <c r="C28" s="89" t="inlineStr">
        <is>
          <t>13/04/2026</t>
        </is>
      </c>
      <c r="D28" s="89" t="inlineStr">
        <is>
          <t>15/04/2026</t>
        </is>
      </c>
      <c r="E28" s="90" t="inlineStr">
        <is>
          <t>ProcessoCapturaMovimentacaoStatus</t>
        </is>
      </c>
      <c r="F28" s="71" t="inlineStr">
        <is>
          <t>✅</t>
        </is>
      </c>
    </row>
    <row r="29" ht="19.5" customHeight="1" s="59">
      <c r="A29" s="87" t="inlineStr">
        <is>
          <t>F4</t>
        </is>
      </c>
      <c r="B29" s="88" t="inlineStr">
        <is>
          <t>Exclusão do NUP da API parceira e log de desligamento</t>
        </is>
      </c>
      <c r="C29" s="89" t="inlineStr">
        <is>
          <t>09/04/2026</t>
        </is>
      </c>
      <c r="D29" s="89" t="inlineStr">
        <is>
          <t>07/05/2026</t>
        </is>
      </c>
      <c r="E29" s="90" t="inlineStr">
        <is>
          <t>RF-04</t>
        </is>
      </c>
      <c r="F29" s="71" t="inlineStr">
        <is>
          <t>✅</t>
        </is>
      </c>
    </row>
    <row r="30" ht="19.5" customHeight="1" s="59">
      <c r="A30" s="87" t="inlineStr">
        <is>
          <t>F4</t>
        </is>
      </c>
      <c r="B30" s="88" t="inlineStr">
        <is>
          <t>Refatoração da lógica de atualização do token</t>
        </is>
      </c>
      <c r="C30" s="89" t="inlineStr">
        <is>
          <t>22/04/2026</t>
        </is>
      </c>
      <c r="D30" s="89" t="inlineStr">
        <is>
          <t>27/04/2026</t>
        </is>
      </c>
      <c r="E30" s="90" t="inlineStr">
        <is>
          <t>RF-05 — PonteAPI compartilhada</t>
        </is>
      </c>
      <c r="F30" s="71" t="inlineStr">
        <is>
          <t>✅</t>
        </is>
      </c>
    </row>
    <row r="31" ht="19.5" customHeight="1" s="59">
      <c r="A31" s="87" t="inlineStr">
        <is>
          <t>F4</t>
        </is>
      </c>
      <c r="B31" s="88" t="inlineStr">
        <is>
          <t>Refatoração do worker</t>
        </is>
      </c>
      <c r="C31" s="89" t="inlineStr">
        <is>
          <t>23/04/2026</t>
        </is>
      </c>
      <c r="D31" s="89" t="inlineStr">
        <is>
          <t>27/04/2026</t>
        </is>
      </c>
      <c r="E31" s="90" t="inlineStr">
        <is>
          <t>Worker refatorado</t>
        </is>
      </c>
      <c r="F31" s="71" t="inlineStr">
        <is>
          <t>✅</t>
        </is>
      </c>
    </row>
    <row r="32" ht="19.5" customHeight="1" s="59">
      <c r="A32" s="87" t="inlineStr">
        <is>
          <t>F4</t>
        </is>
      </c>
      <c r="B32" s="88" t="inlineStr">
        <is>
          <t>Implementação de endpoint para atualização do CodigoFonteAPI</t>
        </is>
      </c>
      <c r="C32" s="89" t="inlineStr">
        <is>
          <t>27/04/2026</t>
        </is>
      </c>
      <c r="D32" s="89" t="inlineStr">
        <is>
          <t>28/04/2026</t>
        </is>
      </c>
      <c r="E32" s="90" t="inlineStr">
        <is>
          <t>RF-06</t>
        </is>
      </c>
      <c r="F32" s="71" t="inlineStr">
        <is>
          <t>✅</t>
        </is>
      </c>
    </row>
    <row r="33" ht="19.5" customHeight="1" s="59">
      <c r="A33" s="87" t="inlineStr">
        <is>
          <t>F4</t>
        </is>
      </c>
      <c r="B33" s="88" t="inlineStr">
        <is>
          <t>Merge na AndamentosProcessuais e correções no serviço de token</t>
        </is>
      </c>
      <c r="C33" s="89" t="inlineStr">
        <is>
          <t>28/04/2026</t>
        </is>
      </c>
      <c r="D33" s="89" t="inlineStr">
        <is>
          <t>28/04/2026</t>
        </is>
      </c>
      <c r="E33" s="90" t="inlineStr">
        <is>
          <t>BUG-08 resolvido — integração consolidada</t>
        </is>
      </c>
      <c r="F33" s="71" t="inlineStr">
        <is>
          <t>✅</t>
        </is>
      </c>
    </row>
    <row r="34" ht="18" customHeight="1" s="59">
      <c r="A34" s="77" t="inlineStr">
        <is>
          <t>Fase 5 — Testes e Validação</t>
        </is>
      </c>
      <c r="B34" s="63" t="n"/>
      <c r="C34" s="63" t="n"/>
      <c r="D34" s="63" t="n"/>
      <c r="E34" s="63" t="n"/>
      <c r="F34" s="63" t="n"/>
    </row>
    <row r="35" ht="19.5" customHeight="1" s="59">
      <c r="A35" s="82" t="inlineStr">
        <is>
          <t>F5</t>
        </is>
      </c>
      <c r="B35" s="69" t="inlineStr">
        <is>
          <t>Segredo de justiça por instância — detecção e registro</t>
        </is>
      </c>
      <c r="C35" s="70" t="inlineStr">
        <is>
          <t>12/05/2026</t>
        </is>
      </c>
      <c r="D35" s="70" t="inlineStr">
        <is>
          <t>01/06/2026</t>
        </is>
      </c>
      <c r="E35" s="74" t="inlineStr">
        <is>
          <t>RF-10 — campo Segredo</t>
        </is>
      </c>
      <c r="F35" s="71" t="inlineStr">
        <is>
          <t>✅</t>
        </is>
      </c>
    </row>
    <row r="36" ht="19.5" customHeight="1" s="59">
      <c r="A36" s="82" t="inlineStr">
        <is>
          <t>F5</t>
        </is>
      </c>
      <c r="B36" s="69" t="inlineStr">
        <is>
          <t>Desmembramento do RunUpdater para priorização</t>
        </is>
      </c>
      <c r="C36" s="70" t="inlineStr">
        <is>
          <t>12/05/2026</t>
        </is>
      </c>
      <c r="D36" s="70" t="inlineStr">
        <is>
          <t>13/05/2026</t>
        </is>
      </c>
      <c r="E36" s="74" t="inlineStr">
        <is>
          <t>Priorização de retorno</t>
        </is>
      </c>
      <c r="F36" s="71" t="inlineStr">
        <is>
          <t>✅</t>
        </is>
      </c>
    </row>
    <row r="37" ht="19.5" customHeight="1" s="59">
      <c r="A37" s="82" t="inlineStr">
        <is>
          <t>F5</t>
        </is>
      </c>
      <c r="B37" s="69" t="inlineStr">
        <is>
          <t>Desenvolvimento da chamada para cadastro na API parceira</t>
        </is>
      </c>
      <c r="C37" s="70" t="inlineStr">
        <is>
          <t>12/05/2026</t>
        </is>
      </c>
      <c r="D37" s="70" t="inlineStr">
        <is>
          <t>01/06/2026</t>
        </is>
      </c>
      <c r="E37" s="74" t="inlineStr">
        <is>
          <t>RF-07</t>
        </is>
      </c>
      <c r="F37" s="71" t="inlineStr">
        <is>
          <t>✅</t>
        </is>
      </c>
    </row>
    <row r="38" ht="19.5" customHeight="1" s="59">
      <c r="A38" s="82" t="inlineStr">
        <is>
          <t>F5</t>
        </is>
      </c>
      <c r="B38" s="69" t="inlineStr">
        <is>
          <t>Revisão da rotina EPROC/ESAJ para segredo em instância única</t>
        </is>
      </c>
      <c r="C38" s="70" t="inlineStr">
        <is>
          <t>07/05/2026</t>
        </is>
      </c>
      <c r="D38" s="70" t="inlineStr">
        <is>
          <t>01/06/2026</t>
        </is>
      </c>
      <c r="E38" s="74" t="inlineStr">
        <is>
          <t>RF-02 completo</t>
        </is>
      </c>
      <c r="F38" s="71" t="inlineStr">
        <is>
          <t>✅</t>
        </is>
      </c>
    </row>
    <row r="39" ht="19.5" customHeight="1" s="59">
      <c r="A39" s="82" t="inlineStr">
        <is>
          <t>F5</t>
        </is>
      </c>
      <c r="B39" s="69" t="inlineStr">
        <is>
          <t>Alteração na tabela ProcessoCapturaLogin</t>
        </is>
      </c>
      <c r="C39" s="70" t="inlineStr">
        <is>
          <t>18/05/2026</t>
        </is>
      </c>
      <c r="D39" s="70" t="inlineStr">
        <is>
          <t>21/05/2026</t>
        </is>
      </c>
      <c r="E39" s="74" t="inlineStr">
        <is>
          <t>Schema atualizado em homologação</t>
        </is>
      </c>
      <c r="F39" s="71" t="inlineStr">
        <is>
          <t>✅</t>
        </is>
      </c>
    </row>
    <row r="40" ht="19.5" customHeight="1" s="59">
      <c r="A40" s="82" t="inlineStr">
        <is>
          <t>F5</t>
        </is>
      </c>
      <c r="B40" s="69" t="inlineStr">
        <is>
          <t>Testes de fluxo do projeto de captura CNJ</t>
        </is>
      </c>
      <c r="C40" s="70" t="inlineStr">
        <is>
          <t>25/05/2026</t>
        </is>
      </c>
      <c r="D40" s="70" t="inlineStr">
        <is>
          <t>25/05/2026</t>
        </is>
      </c>
      <c r="E40" s="74" t="inlineStr">
        <is>
          <t>CA01–CA07 verificados</t>
        </is>
      </c>
      <c r="F40" s="71" t="inlineStr">
        <is>
          <t>✅</t>
        </is>
      </c>
    </row>
    <row r="41" ht="19.5" customHeight="1" s="59">
      <c r="A41" s="82" t="inlineStr">
        <is>
          <t>F5</t>
        </is>
      </c>
      <c r="B41" s="69" t="inlineStr">
        <is>
          <t>Correção no fluxo de indexação e exclusão nas APIs parceiras</t>
        </is>
      </c>
      <c r="C41" s="70" t="inlineStr">
        <is>
          <t>25/05/2026</t>
        </is>
      </c>
      <c r="D41" s="70" t="inlineStr">
        <is>
          <t>26/05/2026</t>
        </is>
      </c>
      <c r="E41" s="74" t="inlineStr">
        <is>
          <t>BUG-09 resolvido</t>
        </is>
      </c>
      <c r="F41" s="71" t="inlineStr">
        <is>
          <t>✅</t>
        </is>
      </c>
    </row>
    <row r="42" ht="19.5" customHeight="1" s="59">
      <c r="A42" s="82" t="inlineStr">
        <is>
          <t>F5</t>
        </is>
      </c>
      <c r="B42" s="69" t="inlineStr">
        <is>
          <t>Testes de persistência de movimentações</t>
        </is>
      </c>
      <c r="C42" s="70" t="inlineStr">
        <is>
          <t>26/05/2026</t>
        </is>
      </c>
      <c r="D42" s="70" t="inlineStr">
        <is>
          <t>27/05/2026</t>
        </is>
      </c>
      <c r="E42" s="74" t="inlineStr">
        <is>
          <t>CA03 verificado</t>
        </is>
      </c>
      <c r="F42" s="71" t="inlineStr">
        <is>
          <t>✅</t>
        </is>
      </c>
    </row>
    <row r="43" ht="19.5" customHeight="1" s="59">
      <c r="A43" s="82" t="inlineStr">
        <is>
          <t>F5</t>
        </is>
      </c>
      <c r="B43" s="69" t="inlineStr">
        <is>
          <t>Implementação de retry para envio do webhook</t>
        </is>
      </c>
      <c r="C43" s="70" t="inlineStr">
        <is>
          <t>27/05/2026</t>
        </is>
      </c>
      <c r="D43" s="70" t="inlineStr">
        <is>
          <t>29/05/2026</t>
        </is>
      </c>
      <c r="E43" s="74" t="inlineStr">
        <is>
          <t>RNF-02</t>
        </is>
      </c>
      <c r="F43" s="71" t="inlineStr">
        <is>
          <t>✅</t>
        </is>
      </c>
    </row>
    <row r="44" ht="19.5" customHeight="1" s="59">
      <c r="A44" s="82" t="inlineStr">
        <is>
          <t>F5</t>
        </is>
      </c>
      <c r="B44" s="69" t="inlineStr">
        <is>
          <t>Validação do fluxo de captura</t>
        </is>
      </c>
      <c r="C44" s="70" t="inlineStr">
        <is>
          <t>29/05/2026</t>
        </is>
      </c>
      <c r="D44" s="70" t="inlineStr">
        <is>
          <t>01/06/2026</t>
        </is>
      </c>
      <c r="E44" s="74" t="inlineStr">
        <is>
          <t>Homologação concluída</t>
        </is>
      </c>
      <c r="F44" s="71" t="inlineStr">
        <is>
          <t>✅</t>
        </is>
      </c>
    </row>
    <row r="45" ht="18" customHeight="1" s="59">
      <c r="A45" s="77" t="inlineStr">
        <is>
          <t>Fase 6 — Implantação</t>
        </is>
      </c>
      <c r="B45" s="63" t="n"/>
      <c r="C45" s="63" t="n"/>
      <c r="D45" s="63" t="n"/>
      <c r="E45" s="63" t="n"/>
      <c r="F45" s="63" t="n"/>
    </row>
    <row r="46" ht="19.5" customHeight="1" s="59">
      <c r="A46" s="91" t="inlineStr">
        <is>
          <t>F6</t>
        </is>
      </c>
      <c r="B46" s="92" t="inlineStr">
        <is>
          <t>Deploy em produção — 10 workers ativos</t>
        </is>
      </c>
      <c r="C46" s="93" t="inlineStr">
        <is>
          <t>08/06/2026</t>
        </is>
      </c>
      <c r="D46" s="93" t="inlineStr">
        <is>
          <t>08/06/2026</t>
        </is>
      </c>
      <c r="E46" s="94" t="inlineStr">
        <is>
          <t>TAE-AASPCNJ01-001</t>
        </is>
      </c>
      <c r="F46" s="71" t="inlineStr">
        <is>
          <t>✅</t>
        </is>
      </c>
    </row>
    <row r="47" ht="19.5" customHeight="1" s="59">
      <c r="A47" s="91" t="inlineStr">
        <is>
          <t>F6</t>
        </is>
      </c>
      <c r="B47" s="92" t="inlineStr">
        <is>
          <t>Validação inicial: 13.700 processos em 45 min</t>
        </is>
      </c>
      <c r="C47" s="93" t="inlineStr">
        <is>
          <t>08/06/2026</t>
        </is>
      </c>
      <c r="D47" s="93" t="inlineStr">
        <is>
          <t>08/06/2026</t>
        </is>
      </c>
      <c r="E47" s="94" t="inlineStr">
        <is>
          <t>Evidência de aceite</t>
        </is>
      </c>
      <c r="F47" s="71" t="inlineStr">
        <is>
          <t>✅</t>
        </is>
      </c>
    </row>
  </sheetData>
  <mergeCells count="8">
    <mergeCell ref="A2:F2"/>
    <mergeCell ref="A14:F14"/>
    <mergeCell ref="A45:F45"/>
    <mergeCell ref="A1:F1"/>
    <mergeCell ref="A22:F22"/>
    <mergeCell ref="A34:F34"/>
    <mergeCell ref="A4:F4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50" customWidth="1" style="58" min="2" max="2"/>
    <col width="16" customWidth="1" style="58" min="3" max="3"/>
    <col width="10" customWidth="1" style="58" min="4" max="4"/>
    <col width="22" customWidth="1" style="58" min="5" max="5"/>
    <col width="12" customWidth="1" style="58" min="6" max="6"/>
    <col width="14" customWidth="1" style="58" min="7" max="7"/>
  </cols>
  <sheetData>
    <row r="1" ht="27.75" customHeight="1" s="59">
      <c r="A1" s="76" t="inlineStr">
        <is>
          <t>BACKLOG DO PROJETO — REQUISITOS</t>
        </is>
      </c>
    </row>
    <row r="2" ht="15" customHeight="1" s="59">
      <c r="A2" s="61" t="inlineStr">
        <is>
          <t>Referência: REQ-AASPCNJ01-001 · RASTR-AASPCNJ01-001</t>
        </is>
      </c>
    </row>
    <row r="3" ht="18" customHeight="1" s="59">
      <c r="A3" s="95" t="inlineStr">
        <is>
          <t>REQUISITOS FUNCIONAIS</t>
        </is>
      </c>
    </row>
    <row r="4" ht="15" customHeight="1" s="59">
      <c r="A4" s="66" t="inlineStr">
        <is>
          <t>ID</t>
        </is>
      </c>
      <c r="B4" s="66" t="inlineStr">
        <is>
          <t>Descrição</t>
        </is>
      </c>
      <c r="C4" s="66" t="inlineStr">
        <is>
          <t>Origem</t>
        </is>
      </c>
      <c r="D4" s="66" t="inlineStr">
        <is>
          <t>Fase</t>
        </is>
      </c>
      <c r="E4" s="66" t="inlineStr">
        <is>
          <t>Critério de Aceite</t>
        </is>
      </c>
      <c r="F4" s="66" t="inlineStr">
        <is>
          <t>Status</t>
        </is>
      </c>
      <c r="G4" s="66" t="inlineStr">
        <is>
          <t>Evidência</t>
        </is>
      </c>
    </row>
    <row r="5" ht="27.75" customHeight="1" s="59">
      <c r="A5" s="82" t="inlineStr">
        <is>
          <t>RF01</t>
        </is>
      </c>
      <c r="B5" s="69" t="inlineStr">
        <is>
          <t>O sistema deve consultar a API DataJud/CNJ como fonte primária para todos os NUPs com CodigoFonteAPI nulo</t>
        </is>
      </c>
      <c r="C5" s="74" t="inlineStr">
        <is>
          <t>Custo e cobertura</t>
        </is>
      </c>
      <c r="D5" s="70" t="inlineStr">
        <is>
          <t>F4</t>
        </is>
      </c>
      <c r="E5" s="70" t="inlineStr">
        <is>
          <t>CA01, CA02</t>
        </is>
      </c>
      <c r="F5" s="71" t="inlineStr">
        <is>
          <t>✅ Entregue</t>
        </is>
      </c>
      <c r="G5" s="74" t="inlineStr">
        <is>
          <t>VV-CA01, VV-CA02</t>
        </is>
      </c>
    </row>
    <row r="6" ht="27.75" customHeight="1" s="59">
      <c r="A6" s="96" t="inlineStr">
        <is>
          <t>RF02</t>
        </is>
      </c>
      <c r="B6" s="67" t="inlineStr">
        <is>
          <t>O sistema deve realizar captura via engine EPROC/ESAJ para processos do TJSP quando CNJ não retornar resultado</t>
        </is>
      </c>
      <c r="C6" s="75" t="inlineStr">
        <is>
          <t>Instabilidade crawler</t>
        </is>
      </c>
      <c r="D6" s="73" t="inlineStr">
        <is>
          <t>F2/F5</t>
        </is>
      </c>
      <c r="E6" s="73" t="inlineStr">
        <is>
          <t>CA01, CA02</t>
        </is>
      </c>
      <c r="F6" s="71" t="inlineStr">
        <is>
          <t>✅ Entregue</t>
        </is>
      </c>
      <c r="G6" s="75" t="inlineStr">
        <is>
          <t>VV-CA01, VV-CA02</t>
        </is>
      </c>
    </row>
    <row r="7" ht="27.75" customHeight="1" s="59">
      <c r="A7" s="82" t="inlineStr">
        <is>
          <t>RF03</t>
        </is>
      </c>
      <c r="B7" s="69" t="inlineStr">
        <is>
          <t>O worker deve ler a fila RabbitMQ de forma unificada, independente do tribunal</t>
        </is>
      </c>
      <c r="C7" s="74" t="inlineStr">
        <is>
          <t>Arquitetura monolítica</t>
        </is>
      </c>
      <c r="D7" s="70" t="inlineStr">
        <is>
          <t>F4</t>
        </is>
      </c>
      <c r="E7" s="70" t="inlineStr">
        <is>
          <t>CA01</t>
        </is>
      </c>
      <c r="F7" s="71" t="inlineStr">
        <is>
          <t>✅ Entregue</t>
        </is>
      </c>
      <c r="G7" s="74" t="inlineStr">
        <is>
          <t>itp-rabbitmq-fila.png</t>
        </is>
      </c>
    </row>
    <row r="8" ht="27.75" customHeight="1" s="59">
      <c r="A8" s="96" t="inlineStr">
        <is>
          <t>RF04</t>
        </is>
      </c>
      <c r="B8" s="67" t="inlineStr">
        <is>
          <t>Após captura CNJ, o sistema deve identificar e desligar o processo nas APIs parceiras</t>
        </is>
      </c>
      <c r="C8" s="75" t="inlineStr">
        <is>
          <t>Custo de APIs parceiras</t>
        </is>
      </c>
      <c r="D8" s="73" t="inlineStr">
        <is>
          <t>F4</t>
        </is>
      </c>
      <c r="E8" s="73" t="inlineStr">
        <is>
          <t>CA06</t>
        </is>
      </c>
      <c r="F8" s="71" t="inlineStr">
        <is>
          <t>✅ Entregue</t>
        </is>
      </c>
      <c r="G8" s="75" t="inlineStr">
        <is>
          <t>vv-ca06-desligamento.png</t>
        </is>
      </c>
    </row>
    <row r="9" ht="27.75" customHeight="1" s="59">
      <c r="A9" s="82" t="inlineStr">
        <is>
          <t>RF05</t>
        </is>
      </c>
      <c r="B9" s="69" t="inlineStr">
        <is>
          <t>O worker deve gerenciar o token Bearer da API CNJ de forma compartilhada, com renovação automática</t>
        </is>
      </c>
      <c r="C9" s="74" t="inlineStr">
        <is>
          <t>Necessidade operacional</t>
        </is>
      </c>
      <c r="D9" s="70" t="inlineStr">
        <is>
          <t>F4</t>
        </is>
      </c>
      <c r="E9" s="70" t="inlineStr">
        <is>
          <t>CA01</t>
        </is>
      </c>
      <c r="F9" s="71" t="inlineStr">
        <is>
          <t>✅ Entregue</t>
        </is>
      </c>
      <c r="G9" s="74" t="inlineStr">
        <is>
          <t>itp-token-ponteapi.png</t>
        </is>
      </c>
    </row>
    <row r="10" ht="27.75" customHeight="1" s="59">
      <c r="A10" s="96" t="inlineStr">
        <is>
          <t>RF06</t>
        </is>
      </c>
      <c r="B10" s="67" t="inlineStr">
        <is>
          <t>O sistema deve registrar o campo CodigoFonteAPI na tabela ProcessoCaptura</t>
        </is>
      </c>
      <c r="C10" s="75" t="inlineStr">
        <is>
          <t>Necessidade operacional</t>
        </is>
      </c>
      <c r="D10" s="73" t="inlineStr">
        <is>
          <t>F4</t>
        </is>
      </c>
      <c r="E10" s="73" t="inlineStr">
        <is>
          <t>CA01</t>
        </is>
      </c>
      <c r="F10" s="71" t="inlineStr">
        <is>
          <t>✅ Entregue</t>
        </is>
      </c>
      <c r="G10" s="75" t="inlineStr">
        <is>
          <t>vv-ca01-processocaptura.png</t>
        </is>
      </c>
    </row>
    <row r="11" ht="27.75" customHeight="1" s="59">
      <c r="A11" s="82" t="inlineStr">
        <is>
          <t>RF07</t>
        </is>
      </c>
      <c r="B11" s="69" t="inlineStr">
        <is>
          <t>O sistema deve tratar fallback para APIs parceiras quando CNJ e EPROC/ESAJ falharem</t>
        </is>
      </c>
      <c r="C11" s="74" t="inlineStr">
        <is>
          <t>Necessidade operacional</t>
        </is>
      </c>
      <c r="D11" s="70" t="inlineStr">
        <is>
          <t>F4</t>
        </is>
      </c>
      <c r="E11" s="70" t="inlineStr">
        <is>
          <t>CA01</t>
        </is>
      </c>
      <c r="F11" s="71" t="inlineStr">
        <is>
          <t>✅ Entregue</t>
        </is>
      </c>
      <c r="G11" s="74" t="inlineStr">
        <is>
          <t>vv-ca01-processocaptura.png · impl. na API AndamentosProcessuais (cross-repo)</t>
        </is>
      </c>
    </row>
    <row r="12" ht="27.75" customHeight="1" s="59">
      <c r="A12" s="96" t="inlineStr">
        <is>
          <t>RF08</t>
        </is>
      </c>
      <c r="B12" s="67" t="inlineStr">
        <is>
          <t>O sistema deve tratar todos os cenários de retorno das APIs parceiras: inválido, vazio, erro total, erro parcial</t>
        </is>
      </c>
      <c r="C12" s="75" t="inlineStr">
        <is>
          <t>Necessidade operacional</t>
        </is>
      </c>
      <c r="D12" s="73" t="inlineStr">
        <is>
          <t>F4</t>
        </is>
      </c>
      <c r="E12" s="73" t="inlineStr">
        <is>
          <t>CA05</t>
        </is>
      </c>
      <c r="F12" s="71" t="inlineStr">
        <is>
          <t>✅ Entregue</t>
        </is>
      </c>
      <c r="G12" s="75" t="inlineStr">
        <is>
          <t>vv-ca05-erro-parcial.png · impl. na API AndamentosProcessuais (cross-repo)</t>
        </is>
      </c>
    </row>
    <row r="13" ht="27.75" customHeight="1" s="59">
      <c r="A13" s="82" t="inlineStr">
        <is>
          <t>RF09</t>
        </is>
      </c>
      <c r="B13" s="69" t="inlineStr">
        <is>
          <t>O sistema deve registrar erros detalhados no campo Observacao das tabelas de controle por instância</t>
        </is>
      </c>
      <c r="C13" s="74" t="inlineStr">
        <is>
          <t>Observabilidade</t>
        </is>
      </c>
      <c r="D13" s="70" t="inlineStr">
        <is>
          <t>F5</t>
        </is>
      </c>
      <c r="E13" s="70" t="inlineStr">
        <is>
          <t>CA05</t>
        </is>
      </c>
      <c r="F13" s="71" t="inlineStr">
        <is>
          <t>✅ Entregue</t>
        </is>
      </c>
      <c r="G13" s="74" t="inlineStr">
        <is>
          <t>vv-ca05-erro-parcial.png · impl. no repo AndamentosProcessuais (cruza AP-RF07)</t>
        </is>
      </c>
    </row>
    <row r="14" ht="27.75" customHeight="1" s="59">
      <c r="A14" s="96" t="inlineStr">
        <is>
          <t>RF10</t>
        </is>
      </c>
      <c r="B14" s="67" t="inlineStr">
        <is>
          <t>O sistema deve identificar e registrar segredo de justiça por instância processual</t>
        </is>
      </c>
      <c r="C14" s="75" t="inlineStr">
        <is>
          <t>Necessidade de negócio</t>
        </is>
      </c>
      <c r="D14" s="73" t="inlineStr">
        <is>
          <t>F5</t>
        </is>
      </c>
      <c r="E14" s="73" t="inlineStr">
        <is>
          <t>CA07</t>
        </is>
      </c>
      <c r="F14" s="71" t="inlineStr">
        <is>
          <t>✅ Entregue</t>
        </is>
      </c>
      <c r="G14" s="75" t="inlineStr">
        <is>
          <t>vv-ca07-segredo.png</t>
        </is>
      </c>
    </row>
    <row r="15" ht="27.75" customHeight="1" s="59">
      <c r="A15" s="82" t="inlineStr">
        <is>
          <t>RF11</t>
        </is>
      </c>
      <c r="B15" s="69" t="inlineStr">
        <is>
          <t>O worker deve enviar os dados capturados à API AndamentosProcessuais via webhook</t>
        </is>
      </c>
      <c r="C15" s="74" t="inlineStr">
        <is>
          <t>Necessidade operacional</t>
        </is>
      </c>
      <c r="D15" s="70" t="inlineStr">
        <is>
          <t>F2/F4</t>
        </is>
      </c>
      <c r="E15" s="70" t="inlineStr">
        <is>
          <t>CA04</t>
        </is>
      </c>
      <c r="F15" s="71" t="inlineStr">
        <is>
          <t>✅ Entregue</t>
        </is>
      </c>
      <c r="G15" s="74" t="inlineStr">
        <is>
          <t>itp-webhook-indexacao.png</t>
        </is>
      </c>
    </row>
    <row r="16" ht="27.75" customHeight="1" s="59">
      <c r="A16" s="96" t="inlineStr">
        <is>
          <t>RF12</t>
        </is>
      </c>
      <c r="B16" s="67" t="inlineStr">
        <is>
          <t>O CapturaServer deve enfileirar todos os processos no RabbitMQ de forma unificada</t>
        </is>
      </c>
      <c r="C16" s="75" t="inlineStr">
        <is>
          <t>Necessidade operacional</t>
        </is>
      </c>
      <c r="D16" s="73" t="inlineStr">
        <is>
          <t>F2</t>
        </is>
      </c>
      <c r="E16" s="73" t="inlineStr">
        <is>
          <t>CA01</t>
        </is>
      </c>
      <c r="F16" s="71" t="inlineStr">
        <is>
          <t>✅ Entregue</t>
        </is>
      </c>
      <c r="G16" s="75" t="inlineStr">
        <is>
          <t>itp-rabbitmq-fila.png</t>
        </is>
      </c>
    </row>
    <row r="17" ht="18" customHeight="1" s="59">
      <c r="A17" s="77" t="inlineStr">
        <is>
          <t>REQUISITOS NÃO FUNCIONAIS</t>
        </is>
      </c>
      <c r="B17" s="63" t="n"/>
      <c r="C17" s="63" t="n"/>
      <c r="D17" s="63" t="n"/>
      <c r="E17" s="63" t="n"/>
      <c r="F17" s="63" t="n"/>
      <c r="G17" s="63" t="n"/>
    </row>
    <row r="18" ht="27.75" customHeight="1" s="59">
      <c r="A18" s="97" t="inlineStr">
        <is>
          <t>RNF01</t>
        </is>
      </c>
      <c r="B18" s="88" t="inlineStr">
        <is>
          <t>O fluxo de captura deve suportar múltiplos workers concorrentes sem conflito de token ou reserva de NUP</t>
        </is>
      </c>
      <c r="C18" s="90" t="inlineStr">
        <is>
          <t>Desempenho</t>
        </is>
      </c>
      <c r="D18" s="89" t="inlineStr">
        <is>
          <t>F4</t>
        </is>
      </c>
      <c r="E18" s="88" t="n"/>
      <c r="F18" s="71" t="inlineStr">
        <is>
          <t>✅ Verificado</t>
        </is>
      </c>
      <c r="G18" s="90" t="inlineStr">
        <is>
          <t>VV-AASPCNJ01-001</t>
        </is>
      </c>
    </row>
    <row r="19" ht="27.75" customHeight="1" s="59">
      <c r="A19" s="98" t="inlineStr">
        <is>
          <t>RNF02</t>
        </is>
      </c>
      <c r="B19" s="67" t="inlineStr">
        <is>
          <t>Em caso de travamento da fila, o sistema deve retomar sem intervenção manual</t>
        </is>
      </c>
      <c r="C19" s="75" t="inlineStr">
        <is>
          <t>Confiabilidade</t>
        </is>
      </c>
      <c r="D19" s="73" t="inlineStr">
        <is>
          <t>F4/F5</t>
        </is>
      </c>
      <c r="E19" s="67" t="n"/>
      <c r="F19" s="71" t="inlineStr">
        <is>
          <t>✅ Verificado</t>
        </is>
      </c>
      <c r="G19" s="75" t="inlineStr">
        <is>
          <t>vv-retry-webhook.png</t>
        </is>
      </c>
    </row>
    <row r="20" ht="27.75" customHeight="1" s="59">
      <c r="A20" s="97" t="inlineStr">
        <is>
          <t>RNF03</t>
        </is>
      </c>
      <c r="B20" s="88" t="inlineStr">
        <is>
          <t>Todos os estados de captura devem ser registrados nas tabelas de controle com data, status e observação</t>
        </is>
      </c>
      <c r="C20" s="90" t="inlineStr">
        <is>
          <t>Rastreabilidade</t>
        </is>
      </c>
      <c r="D20" s="89" t="inlineStr">
        <is>
          <t>F4/F5</t>
        </is>
      </c>
      <c r="E20" s="88" t="n"/>
      <c r="F20" s="71" t="inlineStr">
        <is>
          <t>✅ Verificado</t>
        </is>
      </c>
      <c r="G20" s="90" t="inlineStr">
        <is>
          <t>vv-ca01-processocaptura.png</t>
        </is>
      </c>
    </row>
    <row r="21" ht="27.75" customHeight="1" s="59">
      <c r="A21" s="98" t="inlineStr">
        <is>
          <t>RNF04</t>
        </is>
      </c>
      <c r="B21" s="67" t="inlineStr">
        <is>
          <t>O worker deve ser estruturado para permitir adição de novas fontes sem refatoração do fluxo principal</t>
        </is>
      </c>
      <c r="C21" s="75" t="inlineStr">
        <is>
          <t>Manutenibilidade</t>
        </is>
      </c>
      <c r="D21" s="73" t="inlineStr">
        <is>
          <t>F4</t>
        </is>
      </c>
      <c r="E21" s="67" t="n"/>
      <c r="F21" s="71" t="inlineStr">
        <is>
          <t>✅ Verificado</t>
        </is>
      </c>
      <c r="G21" s="75" t="inlineStr">
        <is>
          <t>pcp-roteamento-codigofonteapi.png</t>
        </is>
      </c>
    </row>
    <row r="22" ht="27.75" customHeight="1" s="59">
      <c r="A22" s="97" t="inlineStr">
        <is>
          <t>RNF05</t>
        </is>
      </c>
      <c r="B22" s="88" t="inlineStr">
        <is>
          <t>O token Bearer da API CNJ deve ser armazenado e renovado de forma centralizada, sem exposição em logs</t>
        </is>
      </c>
      <c r="C22" s="90" t="inlineStr">
        <is>
          <t>Segurança</t>
        </is>
      </c>
      <c r="D22" s="89" t="inlineStr">
        <is>
          <t>F4</t>
        </is>
      </c>
      <c r="E22" s="88" t="n"/>
      <c r="F22" s="71" t="inlineStr">
        <is>
          <t>✅ Verificado</t>
        </is>
      </c>
      <c r="G22" s="90" t="inlineStr">
        <is>
          <t>itp-token-ponteapi.png</t>
        </is>
      </c>
    </row>
    <row r="23" ht="27.75" customHeight="1" s="59">
      <c r="A23" s="98" t="inlineStr">
        <is>
          <t>RNF06</t>
        </is>
      </c>
      <c r="B23" s="67" t="inlineStr">
        <is>
          <t>A solução deve reduzir o custo de captura em ao menos R$ 150.000 anuais</t>
        </is>
      </c>
      <c r="C23" s="75" t="inlineStr">
        <is>
          <t>Custo</t>
        </is>
      </c>
      <c r="D23" s="73" t="inlineStr">
        <is>
          <t>F6</t>
        </is>
      </c>
      <c r="E23" s="67" t="n"/>
      <c r="F23" s="71" t="inlineStr">
        <is>
          <t>✅ Verificado</t>
        </is>
      </c>
      <c r="G23" s="75" t="inlineStr">
        <is>
          <t>Validação em produção</t>
        </is>
      </c>
    </row>
  </sheetData>
  <mergeCells count="4">
    <mergeCell ref="A3:G3"/>
    <mergeCell ref="A2:G2"/>
    <mergeCell ref="A1:G1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9" customWidth="1" style="59" min="1" max="1"/>
    <col width="52" customWidth="1" style="59" min="2" max="2"/>
    <col width="13" customWidth="1" style="59" min="3" max="3"/>
    <col width="13" customWidth="1" style="59" min="4" max="4"/>
    <col width="10" customWidth="1" style="59" min="5" max="5"/>
    <col width="12" customWidth="1" style="59" min="6" max="6"/>
    <col width="13" customWidth="1" style="59" min="7" max="7"/>
  </cols>
  <sheetData>
    <row r="1" ht="22" customHeight="1" s="59">
      <c r="A1" s="118" t="inlineStr">
        <is>
          <t>TAREFAS DO PROJETO (base Jira / ClickUp)</t>
        </is>
      </c>
    </row>
    <row r="2">
      <c r="A2" s="119" t="inlineStr">
        <is>
          <t>Tipo: Task · vinculadas a requisitos e fases · derivadas do Cronograma executado</t>
        </is>
      </c>
    </row>
    <row r="3">
      <c r="A3" s="120" t="inlineStr">
        <is>
          <t>ID</t>
        </is>
      </c>
      <c r="B3" s="120" t="inlineStr">
        <is>
          <t>Tarefa</t>
        </is>
      </c>
      <c r="C3" s="120" t="inlineStr">
        <is>
          <t>Início</t>
        </is>
      </c>
      <c r="D3" s="120" t="inlineStr">
        <is>
          <t>Fim</t>
        </is>
      </c>
      <c r="E3" s="120" t="inlineStr">
        <is>
          <t>Fase</t>
        </is>
      </c>
      <c r="F3" s="120" t="inlineStr">
        <is>
          <t>Requisito</t>
        </is>
      </c>
      <c r="G3" s="120" t="inlineStr">
        <is>
          <t>Status</t>
        </is>
      </c>
    </row>
    <row r="4">
      <c r="A4" s="121" t="inlineStr">
        <is>
          <t>T-01</t>
        </is>
      </c>
      <c r="B4" s="121" t="inlineStr">
        <is>
          <t>Estudo do captcha Cloudflare (TJSP)</t>
        </is>
      </c>
      <c r="C4" s="121" t="inlineStr">
        <is>
          <t>01/10/2025</t>
        </is>
      </c>
      <c r="D4" s="121" t="inlineStr">
        <is>
          <t>31/01/2026</t>
        </is>
      </c>
      <c r="E4" s="121" t="inlineStr">
        <is>
          <t>F1</t>
        </is>
      </c>
      <c r="F4" s="121" t="inlineStr">
        <is>
          <t>RNF01</t>
        </is>
      </c>
      <c r="G4" s="121" t="inlineStr">
        <is>
          <t>Concluída</t>
        </is>
      </c>
    </row>
    <row r="5">
      <c r="A5" s="122" t="inlineStr">
        <is>
          <t>T-02</t>
        </is>
      </c>
      <c r="B5" s="122" t="inlineStr">
        <is>
          <t>Criação e preparo dos ambientes de homologação</t>
        </is>
      </c>
      <c r="C5" s="122" t="inlineStr">
        <is>
          <t>14/01/2026</t>
        </is>
      </c>
      <c r="D5" s="122" t="inlineStr">
        <is>
          <t>15/01/2026</t>
        </is>
      </c>
      <c r="E5" s="122" t="inlineStr">
        <is>
          <t>F1</t>
        </is>
      </c>
      <c r="F5" s="122" t="inlineStr">
        <is>
          <t>—</t>
        </is>
      </c>
      <c r="G5" s="122" t="inlineStr">
        <is>
          <t>Concluída</t>
        </is>
      </c>
    </row>
    <row r="6">
      <c r="A6" s="121" t="inlineStr">
        <is>
          <t>T-03</t>
        </is>
      </c>
      <c r="B6" s="121" t="inlineStr">
        <is>
          <t>Criação do crawler EPROC TJSP</t>
        </is>
      </c>
      <c r="C6" s="121" t="inlineStr">
        <is>
          <t>15/12/2025</t>
        </is>
      </c>
      <c r="D6" s="121" t="inlineStr">
        <is>
          <t>09/02/2026</t>
        </is>
      </c>
      <c r="E6" s="121" t="inlineStr">
        <is>
          <t>F2</t>
        </is>
      </c>
      <c r="F6" s="121" t="inlineStr">
        <is>
          <t>RF02</t>
        </is>
      </c>
      <c r="G6" s="121" t="inlineStr">
        <is>
          <t>Concluída</t>
        </is>
      </c>
    </row>
    <row r="7">
      <c r="A7" s="122" t="inlineStr">
        <is>
          <t>T-04</t>
        </is>
      </c>
      <c r="B7" s="122" t="inlineStr">
        <is>
          <t>Criação do webhook de indexação EPROC TJSP</t>
        </is>
      </c>
      <c r="C7" s="122" t="inlineStr">
        <is>
          <t>14/01/2026</t>
        </is>
      </c>
      <c r="D7" s="122" t="inlineStr">
        <is>
          <t>04/02/2026</t>
        </is>
      </c>
      <c r="E7" s="122" t="inlineStr">
        <is>
          <t>F2</t>
        </is>
      </c>
      <c r="F7" s="122" t="inlineStr">
        <is>
          <t>RF11</t>
        </is>
      </c>
      <c r="G7" s="122" t="inlineStr">
        <is>
          <t>Concluída</t>
        </is>
      </c>
    </row>
    <row r="8">
      <c r="A8" s="121" t="inlineStr">
        <is>
          <t>T-05</t>
        </is>
      </c>
      <c r="B8" s="121" t="inlineStr">
        <is>
          <t>Alimentação da fila EprocTjsp no CapturaServer</t>
        </is>
      </c>
      <c r="C8" s="121" t="inlineStr">
        <is>
          <t>09/02/2026</t>
        </is>
      </c>
      <c r="D8" s="121" t="inlineStr">
        <is>
          <t>14/02/2026</t>
        </is>
      </c>
      <c r="E8" s="121" t="inlineStr">
        <is>
          <t>F2</t>
        </is>
      </c>
      <c r="F8" s="121" t="inlineStr">
        <is>
          <t>RF12</t>
        </is>
      </c>
      <c r="G8" s="121" t="inlineStr">
        <is>
          <t>Concluída</t>
        </is>
      </c>
    </row>
    <row r="9">
      <c r="A9" s="122" t="inlineStr">
        <is>
          <t>T-06</t>
        </is>
      </c>
      <c r="B9" s="122" t="inlineStr">
        <is>
          <t>Análise e implementação do dispersor de proxy</t>
        </is>
      </c>
      <c r="C9" s="122" t="inlineStr">
        <is>
          <t>12/02/2026</t>
        </is>
      </c>
      <c r="D9" s="122" t="inlineStr">
        <is>
          <t>19/02/2026</t>
        </is>
      </c>
      <c r="E9" s="122" t="inlineStr">
        <is>
          <t>F2</t>
        </is>
      </c>
      <c r="F9" s="122" t="inlineStr">
        <is>
          <t>RNF01</t>
        </is>
      </c>
      <c r="G9" s="122" t="inlineStr">
        <is>
          <t>Concluída</t>
        </is>
      </c>
    </row>
    <row r="10">
      <c r="A10" s="121" t="inlineStr">
        <is>
          <t>T-07</t>
        </is>
      </c>
      <c r="B10" s="121" t="inlineStr">
        <is>
          <t>Testes de desempenho no fluxo EPROC</t>
        </is>
      </c>
      <c r="C10" s="121" t="inlineStr">
        <is>
          <t>13/02/2026</t>
        </is>
      </c>
      <c r="D10" s="121" t="inlineStr">
        <is>
          <t>23/02/2026</t>
        </is>
      </c>
      <c r="E10" s="121" t="inlineStr">
        <is>
          <t>F2</t>
        </is>
      </c>
      <c r="F10" s="121" t="inlineStr">
        <is>
          <t>RNF01</t>
        </is>
      </c>
      <c r="G10" s="121" t="inlineStr">
        <is>
          <t>Concluída</t>
        </is>
      </c>
    </row>
    <row r="11">
      <c r="A11" s="122" t="inlineStr">
        <is>
          <t>T-08</t>
        </is>
      </c>
      <c r="B11" s="122" t="inlineStr">
        <is>
          <t>Integração de endpoint para publicação no RabbitMQ</t>
        </is>
      </c>
      <c r="C11" s="122" t="inlineStr">
        <is>
          <t>26/02/2026</t>
        </is>
      </c>
      <c r="D11" s="122" t="inlineStr">
        <is>
          <t>27/02/2026</t>
        </is>
      </c>
      <c r="E11" s="122" t="inlineStr">
        <is>
          <t>F2</t>
        </is>
      </c>
      <c r="F11" s="122" t="inlineStr">
        <is>
          <t>RF12</t>
        </is>
      </c>
      <c r="G11" s="122" t="inlineStr">
        <is>
          <t>Concluída</t>
        </is>
      </c>
    </row>
    <row r="12">
      <c r="A12" s="121" t="inlineStr">
        <is>
          <t>T-09</t>
        </is>
      </c>
      <c r="B12" s="121" t="inlineStr">
        <is>
          <t>Correção de bugs de navegador no servidor</t>
        </is>
      </c>
      <c r="C12" s="121" t="inlineStr">
        <is>
          <t>27/02/2026</t>
        </is>
      </c>
      <c r="D12" s="121" t="inlineStr">
        <is>
          <t>03/03/2026</t>
        </is>
      </c>
      <c r="E12" s="121" t="inlineStr">
        <is>
          <t>F3</t>
        </is>
      </c>
      <c r="F12" s="121" t="inlineStr">
        <is>
          <t>RNF01</t>
        </is>
      </c>
      <c r="G12" s="121" t="inlineStr">
        <is>
          <t>Concluída</t>
        </is>
      </c>
    </row>
    <row r="13">
      <c r="A13" s="122" t="inlineStr">
        <is>
          <t>T-10</t>
        </is>
      </c>
      <c r="B13" s="122" t="inlineStr">
        <is>
          <t>Correção de bug de timeout após captcha (BUG-01)</t>
        </is>
      </c>
      <c r="C13" s="122" t="inlineStr">
        <is>
          <t>03/03/2026</t>
        </is>
      </c>
      <c r="D13" s="122" t="inlineStr">
        <is>
          <t>04/03/2026</t>
        </is>
      </c>
      <c r="E13" s="122" t="inlineStr">
        <is>
          <t>F3</t>
        </is>
      </c>
      <c r="F13" s="122" t="inlineStr">
        <is>
          <t>RNF01</t>
        </is>
      </c>
      <c r="G13" s="122" t="inlineStr">
        <is>
          <t>Concluída</t>
        </is>
      </c>
    </row>
    <row r="14">
      <c r="A14" s="121" t="inlineStr">
        <is>
          <t>T-11</t>
        </is>
      </c>
      <c r="B14" s="121" t="inlineStr">
        <is>
          <t>Melhoria no formato de inicialização dos navegadores</t>
        </is>
      </c>
      <c r="C14" s="121" t="inlineStr">
        <is>
          <t>06/03/2026</t>
        </is>
      </c>
      <c r="D14" s="121" t="inlineStr">
        <is>
          <t>16/03/2026</t>
        </is>
      </c>
      <c r="E14" s="121" t="inlineStr">
        <is>
          <t>F3</t>
        </is>
      </c>
      <c r="F14" s="121" t="inlineStr">
        <is>
          <t>RNF01</t>
        </is>
      </c>
      <c r="G14" s="121" t="inlineStr">
        <is>
          <t>Concluída</t>
        </is>
      </c>
    </row>
    <row r="15">
      <c r="A15" s="122" t="inlineStr">
        <is>
          <t>T-12</t>
        </is>
      </c>
      <c r="B15" s="122" t="inlineStr">
        <is>
          <t>Implementação da captura de 1ª instância (EPROC) e incidentes (ESAJ) do TJSP</t>
        </is>
      </c>
      <c r="C15" s="122" t="inlineStr">
        <is>
          <t>12/03/2026</t>
        </is>
      </c>
      <c r="D15" s="122" t="inlineStr">
        <is>
          <t>19/03/2026</t>
        </is>
      </c>
      <c r="E15" s="122" t="inlineStr">
        <is>
          <t>F3</t>
        </is>
      </c>
      <c r="F15" s="122" t="inlineStr">
        <is>
          <t>RF02</t>
        </is>
      </c>
      <c r="G15" s="122" t="inlineStr">
        <is>
          <t>Concluída</t>
        </is>
      </c>
    </row>
    <row r="16">
      <c r="A16" s="121" t="inlineStr">
        <is>
          <t>T-13</t>
        </is>
      </c>
      <c r="B16" s="121" t="inlineStr">
        <is>
          <t>Correção do bug DataUltimaAtualizacao (BUG-04)</t>
        </is>
      </c>
      <c r="C16" s="121" t="inlineStr">
        <is>
          <t>13/03/2026</t>
        </is>
      </c>
      <c r="D16" s="121" t="inlineStr">
        <is>
          <t>13/03/2026</t>
        </is>
      </c>
      <c r="E16" s="121" t="inlineStr">
        <is>
          <t>F3</t>
        </is>
      </c>
      <c r="F16" s="121" t="inlineStr">
        <is>
          <t>RNF02</t>
        </is>
      </c>
      <c r="G16" s="121" t="inlineStr">
        <is>
          <t>Concluída</t>
        </is>
      </c>
    </row>
    <row r="17">
      <c r="A17" s="122" t="inlineStr">
        <is>
          <t>T-14</t>
        </is>
      </c>
      <c r="B17" s="122" t="inlineStr">
        <is>
          <t>Correção ProcessoCapturaLogin null (BUG-02, BUG-03)</t>
        </is>
      </c>
      <c r="C17" s="122" t="inlineStr">
        <is>
          <t>19/03/2026</t>
        </is>
      </c>
      <c r="D17" s="122" t="inlineStr">
        <is>
          <t>20/03/2026</t>
        </is>
      </c>
      <c r="E17" s="122" t="inlineStr">
        <is>
          <t>F3</t>
        </is>
      </c>
      <c r="F17" s="122" t="inlineStr">
        <is>
          <t>RNF02</t>
        </is>
      </c>
      <c r="G17" s="122" t="inlineStr">
        <is>
          <t>Concluída</t>
        </is>
      </c>
    </row>
    <row r="18">
      <c r="A18" s="121" t="inlineStr">
        <is>
          <t>T-15</t>
        </is>
      </c>
      <c r="B18" s="121" t="inlineStr">
        <is>
          <t>Validações e ajustes para GMUD (EPROC)</t>
        </is>
      </c>
      <c r="C18" s="121" t="inlineStr">
        <is>
          <t>25/03/2026</t>
        </is>
      </c>
      <c r="D18" s="121" t="inlineStr">
        <is>
          <t>25/03/2026</t>
        </is>
      </c>
      <c r="E18" s="121" t="inlineStr">
        <is>
          <t>F3</t>
        </is>
      </c>
      <c r="F18" s="121" t="inlineStr">
        <is>
          <t>—</t>
        </is>
      </c>
      <c r="G18" s="121" t="inlineStr">
        <is>
          <t>Concluída</t>
        </is>
      </c>
    </row>
    <row r="19">
      <c r="A19" s="122" t="inlineStr">
        <is>
          <t>T-16</t>
        </is>
      </c>
      <c r="B19" s="122" t="inlineStr">
        <is>
          <t>Desenvolvimento do worker para requisição CNJ</t>
        </is>
      </c>
      <c r="C19" s="122" t="inlineStr">
        <is>
          <t>26/03/2026</t>
        </is>
      </c>
      <c r="D19" s="122" t="inlineStr">
        <is>
          <t>08/04/2026</t>
        </is>
      </c>
      <c r="E19" s="122" t="inlineStr">
        <is>
          <t>F4</t>
        </is>
      </c>
      <c r="F19" s="122" t="inlineStr">
        <is>
          <t>RF01</t>
        </is>
      </c>
      <c r="G19" s="122" t="inlineStr">
        <is>
          <t>Concluída</t>
        </is>
      </c>
    </row>
    <row r="20">
      <c r="A20" s="121" t="inlineStr">
        <is>
          <t>T-17</t>
        </is>
      </c>
      <c r="B20" s="121" t="inlineStr">
        <is>
          <t>Alinhamento e entendimento do fluxo CNJ (ATA)</t>
        </is>
      </c>
      <c r="C20" s="121" t="inlineStr">
        <is>
          <t>07/04/2026</t>
        </is>
      </c>
      <c r="D20" s="121" t="inlineStr">
        <is>
          <t>07/04/2026</t>
        </is>
      </c>
      <c r="E20" s="121" t="inlineStr">
        <is>
          <t>F4</t>
        </is>
      </c>
      <c r="F20" s="121" t="inlineStr">
        <is>
          <t>RF01</t>
        </is>
      </c>
      <c r="G20" s="121" t="inlineStr">
        <is>
          <t>Concluída</t>
        </is>
      </c>
    </row>
    <row r="21">
      <c r="A21" s="122" t="inlineStr">
        <is>
          <t>T-18</t>
        </is>
      </c>
      <c r="B21" s="122" t="inlineStr">
        <is>
          <t>Enfileiramento unificado com verificação CodigoFonteAPI</t>
        </is>
      </c>
      <c r="C21" s="122" t="inlineStr">
        <is>
          <t>06/04/2026</t>
        </is>
      </c>
      <c r="D21" s="122" t="inlineStr">
        <is>
          <t>07/04/2026</t>
        </is>
      </c>
      <c r="E21" s="122" t="inlineStr">
        <is>
          <t>F4</t>
        </is>
      </c>
      <c r="F21" s="122" t="inlineStr">
        <is>
          <t>RF03, RF06</t>
        </is>
      </c>
      <c r="G21" s="122" t="inlineStr">
        <is>
          <t>Concluída</t>
        </is>
      </c>
    </row>
    <row r="22">
      <c r="A22" s="121" t="inlineStr">
        <is>
          <t>T-19</t>
        </is>
      </c>
      <c r="B22" s="121" t="inlineStr">
        <is>
          <t>Captura de processos CNJ no WorkerAndamentos</t>
        </is>
      </c>
      <c r="C22" s="121" t="inlineStr">
        <is>
          <t>08/04/2026</t>
        </is>
      </c>
      <c r="D22" s="121" t="inlineStr">
        <is>
          <t>16/04/2026</t>
        </is>
      </c>
      <c r="E22" s="121" t="inlineStr">
        <is>
          <t>F4</t>
        </is>
      </c>
      <c r="F22" s="121" t="inlineStr">
        <is>
          <t>RF01</t>
        </is>
      </c>
      <c r="G22" s="121" t="inlineStr">
        <is>
          <t>Concluída</t>
        </is>
      </c>
    </row>
    <row r="23">
      <c r="A23" s="122" t="inlineStr">
        <is>
          <t>T-20</t>
        </is>
      </c>
      <c r="B23" s="122" t="inlineStr">
        <is>
          <t>Alinhamento de campos CNJ com modelo Elasticsearch</t>
        </is>
      </c>
      <c r="C23" s="122" t="inlineStr">
        <is>
          <t>15/04/2026</t>
        </is>
      </c>
      <c r="D23" s="122" t="inlineStr">
        <is>
          <t>16/04/2026</t>
        </is>
      </c>
      <c r="E23" s="122" t="inlineStr">
        <is>
          <t>F4</t>
        </is>
      </c>
      <c r="F23" s="122" t="inlineStr">
        <is>
          <t>RF11</t>
        </is>
      </c>
      <c r="G23" s="122" t="inlineStr">
        <is>
          <t>Concluída</t>
        </is>
      </c>
    </row>
    <row r="24">
      <c r="A24" s="121" t="inlineStr">
        <is>
          <t>T-21</t>
        </is>
      </c>
      <c r="B24" s="121" t="inlineStr">
        <is>
          <t>Implementação da nova lógica de movimentações</t>
        </is>
      </c>
      <c r="C24" s="121" t="inlineStr">
        <is>
          <t>13/04/2026</t>
        </is>
      </c>
      <c r="D24" s="121" t="inlineStr">
        <is>
          <t>15/04/2026</t>
        </is>
      </c>
      <c r="E24" s="121" t="inlineStr">
        <is>
          <t>F4</t>
        </is>
      </c>
      <c r="F24" s="121" t="inlineStr">
        <is>
          <t>RF11</t>
        </is>
      </c>
      <c r="G24" s="121" t="inlineStr">
        <is>
          <t>Concluída</t>
        </is>
      </c>
    </row>
    <row r="25">
      <c r="A25" s="122" t="inlineStr">
        <is>
          <t>T-22</t>
        </is>
      </c>
      <c r="B25" s="122" t="inlineStr">
        <is>
          <t>Exclusão do NUP da API parceira e log de desligamento</t>
        </is>
      </c>
      <c r="C25" s="122" t="inlineStr">
        <is>
          <t>09/04/2026</t>
        </is>
      </c>
      <c r="D25" s="122" t="inlineStr">
        <is>
          <t>07/05/2026</t>
        </is>
      </c>
      <c r="E25" s="122" t="inlineStr">
        <is>
          <t>F4</t>
        </is>
      </c>
      <c r="F25" s="122" t="inlineStr">
        <is>
          <t>RF04</t>
        </is>
      </c>
      <c r="G25" s="122" t="inlineStr">
        <is>
          <t>Concluída</t>
        </is>
      </c>
    </row>
    <row r="26">
      <c r="A26" s="121" t="inlineStr">
        <is>
          <t>T-23</t>
        </is>
      </c>
      <c r="B26" s="121" t="inlineStr">
        <is>
          <t>Refatoração da lógica de atualização do token</t>
        </is>
      </c>
      <c r="C26" s="121" t="inlineStr">
        <is>
          <t>22/04/2026</t>
        </is>
      </c>
      <c r="D26" s="121" t="inlineStr">
        <is>
          <t>27/04/2026</t>
        </is>
      </c>
      <c r="E26" s="121" t="inlineStr">
        <is>
          <t>F4</t>
        </is>
      </c>
      <c r="F26" s="121" t="inlineStr">
        <is>
          <t>RF05</t>
        </is>
      </c>
      <c r="G26" s="121" t="inlineStr">
        <is>
          <t>Concluída</t>
        </is>
      </c>
    </row>
    <row r="27">
      <c r="A27" s="122" t="inlineStr">
        <is>
          <t>T-24</t>
        </is>
      </c>
      <c r="B27" s="122" t="inlineStr">
        <is>
          <t>Refatoração do worker</t>
        </is>
      </c>
      <c r="C27" s="122" t="inlineStr">
        <is>
          <t>23/04/2026</t>
        </is>
      </c>
      <c r="D27" s="122" t="inlineStr">
        <is>
          <t>27/04/2026</t>
        </is>
      </c>
      <c r="E27" s="122" t="inlineStr">
        <is>
          <t>F4</t>
        </is>
      </c>
      <c r="F27" s="122" t="inlineStr">
        <is>
          <t>RF05</t>
        </is>
      </c>
      <c r="G27" s="122" t="inlineStr">
        <is>
          <t>Concluída</t>
        </is>
      </c>
    </row>
    <row r="28">
      <c r="A28" s="121" t="inlineStr">
        <is>
          <t>T-25</t>
        </is>
      </c>
      <c r="B28" s="121" t="inlineStr">
        <is>
          <t>Endpoint para atualização do CodigoFonteAPI</t>
        </is>
      </c>
      <c r="C28" s="121" t="inlineStr">
        <is>
          <t>27/04/2026</t>
        </is>
      </c>
      <c r="D28" s="121" t="inlineStr">
        <is>
          <t>28/04/2026</t>
        </is>
      </c>
      <c r="E28" s="121" t="inlineStr">
        <is>
          <t>F4</t>
        </is>
      </c>
      <c r="F28" s="121" t="inlineStr">
        <is>
          <t>RF06</t>
        </is>
      </c>
      <c r="G28" s="121" t="inlineStr">
        <is>
          <t>Concluída</t>
        </is>
      </c>
    </row>
    <row r="29">
      <c r="A29" s="122" t="inlineStr">
        <is>
          <t>T-26</t>
        </is>
      </c>
      <c r="B29" s="122" t="inlineStr">
        <is>
          <t>Merge na AndamentosProcessuais e correções no serviço de token (BUG-08)</t>
        </is>
      </c>
      <c r="C29" s="122" t="inlineStr">
        <is>
          <t>28/04/2026</t>
        </is>
      </c>
      <c r="D29" s="122" t="inlineStr">
        <is>
          <t>28/04/2026</t>
        </is>
      </c>
      <c r="E29" s="122" t="inlineStr">
        <is>
          <t>F4</t>
        </is>
      </c>
      <c r="F29" s="122" t="inlineStr">
        <is>
          <t>RF05</t>
        </is>
      </c>
      <c r="G29" s="122" t="inlineStr">
        <is>
          <t>Concluída</t>
        </is>
      </c>
    </row>
    <row r="30">
      <c r="A30" s="121" t="inlineStr">
        <is>
          <t>T-27</t>
        </is>
      </c>
      <c r="B30" s="121" t="inlineStr">
        <is>
          <t>Segredo de justiça por instância — detecção e registro</t>
        </is>
      </c>
      <c r="C30" s="121" t="inlineStr">
        <is>
          <t>12/05/2026</t>
        </is>
      </c>
      <c r="D30" s="121" t="inlineStr">
        <is>
          <t>01/06/2026</t>
        </is>
      </c>
      <c r="E30" s="121" t="inlineStr">
        <is>
          <t>F5</t>
        </is>
      </c>
      <c r="F30" s="121" t="inlineStr">
        <is>
          <t>RF10</t>
        </is>
      </c>
      <c r="G30" s="121" t="inlineStr">
        <is>
          <t>Concluída</t>
        </is>
      </c>
    </row>
    <row r="31">
      <c r="A31" s="122" t="inlineStr">
        <is>
          <t>T-28</t>
        </is>
      </c>
      <c r="B31" s="122" t="inlineStr">
        <is>
          <t>Desmembramento do RunUpdater para priorização</t>
        </is>
      </c>
      <c r="C31" s="122" t="inlineStr">
        <is>
          <t>12/05/2026</t>
        </is>
      </c>
      <c r="D31" s="122" t="inlineStr">
        <is>
          <t>13/05/2026</t>
        </is>
      </c>
      <c r="E31" s="122" t="inlineStr">
        <is>
          <t>F5</t>
        </is>
      </c>
      <c r="F31" s="122" t="inlineStr">
        <is>
          <t>RNF01</t>
        </is>
      </c>
      <c r="G31" s="122" t="inlineStr">
        <is>
          <t>Concluída</t>
        </is>
      </c>
    </row>
    <row r="32">
      <c r="A32" s="121" t="inlineStr">
        <is>
          <t>T-29</t>
        </is>
      </c>
      <c r="B32" s="121" t="inlineStr">
        <is>
          <t>Implementação da chamada para cadastro na API parceira</t>
        </is>
      </c>
      <c r="C32" s="121" t="inlineStr">
        <is>
          <t>12/05/2026</t>
        </is>
      </c>
      <c r="D32" s="121" t="inlineStr">
        <is>
          <t>01/06/2026</t>
        </is>
      </c>
      <c r="E32" s="121" t="inlineStr">
        <is>
          <t>F5</t>
        </is>
      </c>
      <c r="F32" s="121" t="inlineStr">
        <is>
          <t>RF07</t>
        </is>
      </c>
      <c r="G32" s="121" t="inlineStr">
        <is>
          <t>Concluída</t>
        </is>
      </c>
    </row>
    <row r="33">
      <c r="A33" s="122" t="inlineStr">
        <is>
          <t>T-30</t>
        </is>
      </c>
      <c r="B33" s="122" t="inlineStr">
        <is>
          <t>Revisão da rotina EPROC/ESAJ para segredo em instância única</t>
        </is>
      </c>
      <c r="C33" s="122" t="inlineStr">
        <is>
          <t>07/05/2026</t>
        </is>
      </c>
      <c r="D33" s="122" t="inlineStr">
        <is>
          <t>01/06/2026</t>
        </is>
      </c>
      <c r="E33" s="122" t="inlineStr">
        <is>
          <t>F5</t>
        </is>
      </c>
      <c r="F33" s="122" t="inlineStr">
        <is>
          <t>RF10</t>
        </is>
      </c>
      <c r="G33" s="122" t="inlineStr">
        <is>
          <t>Concluída</t>
        </is>
      </c>
    </row>
    <row r="34">
      <c r="A34" s="121" t="inlineStr">
        <is>
          <t>T-31</t>
        </is>
      </c>
      <c r="B34" s="121" t="inlineStr">
        <is>
          <t>Alteração na tabela ProcessoCapturaLogin (homologação)</t>
        </is>
      </c>
      <c r="C34" s="121" t="inlineStr">
        <is>
          <t>18/05/2026</t>
        </is>
      </c>
      <c r="D34" s="121" t="inlineStr">
        <is>
          <t>21/05/2026</t>
        </is>
      </c>
      <c r="E34" s="121" t="inlineStr">
        <is>
          <t>F5</t>
        </is>
      </c>
      <c r="F34" s="121" t="inlineStr">
        <is>
          <t>RF09</t>
        </is>
      </c>
      <c r="G34" s="121" t="inlineStr">
        <is>
          <t>Concluída</t>
        </is>
      </c>
    </row>
    <row r="35">
      <c r="A35" s="122" t="inlineStr">
        <is>
          <t>T-32</t>
        </is>
      </c>
      <c r="B35" s="122" t="inlineStr">
        <is>
          <t>Testes de fluxo do projeto de captura CNJ</t>
        </is>
      </c>
      <c r="C35" s="122" t="inlineStr">
        <is>
          <t>25/05/2026</t>
        </is>
      </c>
      <c r="D35" s="122" t="inlineStr">
        <is>
          <t>25/05/2026</t>
        </is>
      </c>
      <c r="E35" s="122" t="inlineStr">
        <is>
          <t>F5</t>
        </is>
      </c>
      <c r="F35" s="122" t="inlineStr">
        <is>
          <t>VV</t>
        </is>
      </c>
      <c r="G35" s="122" t="inlineStr">
        <is>
          <t>Concluída</t>
        </is>
      </c>
    </row>
    <row r="36">
      <c r="A36" s="121" t="inlineStr">
        <is>
          <t>T-33</t>
        </is>
      </c>
      <c r="B36" s="121" t="inlineStr">
        <is>
          <t>Correção no fluxo de indexação e exclusão nas parceiras (BUG-09)</t>
        </is>
      </c>
      <c r="C36" s="121" t="inlineStr">
        <is>
          <t>25/05/2026</t>
        </is>
      </c>
      <c r="D36" s="121" t="inlineStr">
        <is>
          <t>26/05/2026</t>
        </is>
      </c>
      <c r="E36" s="121" t="inlineStr">
        <is>
          <t>F5</t>
        </is>
      </c>
      <c r="F36" s="121" t="inlineStr">
        <is>
          <t>RF08</t>
        </is>
      </c>
      <c r="G36" s="121" t="inlineStr">
        <is>
          <t>Concluída</t>
        </is>
      </c>
    </row>
    <row r="37">
      <c r="A37" s="122" t="inlineStr">
        <is>
          <t>T-34</t>
        </is>
      </c>
      <c r="B37" s="122" t="inlineStr">
        <is>
          <t>Testes de persistência de movimentações</t>
        </is>
      </c>
      <c r="C37" s="122" t="inlineStr">
        <is>
          <t>26/05/2026</t>
        </is>
      </c>
      <c r="D37" s="122" t="inlineStr">
        <is>
          <t>27/05/2026</t>
        </is>
      </c>
      <c r="E37" s="122" t="inlineStr">
        <is>
          <t>F5</t>
        </is>
      </c>
      <c r="F37" s="122" t="inlineStr">
        <is>
          <t>VV</t>
        </is>
      </c>
      <c r="G37" s="122" t="inlineStr">
        <is>
          <t>Concluída</t>
        </is>
      </c>
    </row>
    <row r="38">
      <c r="A38" s="121" t="inlineStr">
        <is>
          <t>T-35</t>
        </is>
      </c>
      <c r="B38" s="121" t="inlineStr">
        <is>
          <t>Implementação de retry para envio do webhook</t>
        </is>
      </c>
      <c r="C38" s="121" t="inlineStr">
        <is>
          <t>27/05/2026</t>
        </is>
      </c>
      <c r="D38" s="121" t="inlineStr">
        <is>
          <t>29/05/2026</t>
        </is>
      </c>
      <c r="E38" s="121" t="inlineStr">
        <is>
          <t>F5</t>
        </is>
      </c>
      <c r="F38" s="121" t="inlineStr">
        <is>
          <t>RNF02</t>
        </is>
      </c>
      <c r="G38" s="121" t="inlineStr">
        <is>
          <t>Concluída</t>
        </is>
      </c>
    </row>
    <row r="39">
      <c r="A39" s="122" t="inlineStr">
        <is>
          <t>T-36</t>
        </is>
      </c>
      <c r="B39" s="122" t="inlineStr">
        <is>
          <t>Validação do fluxo de captura</t>
        </is>
      </c>
      <c r="C39" s="122" t="inlineStr">
        <is>
          <t>29/05/2026</t>
        </is>
      </c>
      <c r="D39" s="122" t="inlineStr">
        <is>
          <t>01/06/2026</t>
        </is>
      </c>
      <c r="E39" s="122" t="inlineStr">
        <is>
          <t>F5</t>
        </is>
      </c>
      <c r="F39" s="122" t="inlineStr">
        <is>
          <t>VV</t>
        </is>
      </c>
      <c r="G39" s="122" t="inlineStr">
        <is>
          <t>Concluída</t>
        </is>
      </c>
    </row>
    <row r="40">
      <c r="A40" s="121" t="inlineStr">
        <is>
          <t>T-37</t>
        </is>
      </c>
      <c r="B40" s="121" t="inlineStr">
        <is>
          <t>Deploy em produção — 10 workers ativos</t>
        </is>
      </c>
      <c r="C40" s="121" t="inlineStr">
        <is>
          <t>08/06/2026</t>
        </is>
      </c>
      <c r="D40" s="121" t="inlineStr">
        <is>
          <t>08/06/2026</t>
        </is>
      </c>
      <c r="E40" s="121" t="inlineStr">
        <is>
          <t>F6</t>
        </is>
      </c>
      <c r="F40" s="121" t="inlineStr">
        <is>
          <t>—</t>
        </is>
      </c>
      <c r="G40" s="121" t="inlineStr">
        <is>
          <t>Concluída</t>
        </is>
      </c>
    </row>
    <row r="41">
      <c r="A41" s="122" t="inlineStr">
        <is>
          <t>T-38</t>
        </is>
      </c>
      <c r="B41" s="122" t="inlineStr">
        <is>
          <t>Validação inicial: 13.700 processos em 45 min</t>
        </is>
      </c>
      <c r="C41" s="122" t="inlineStr">
        <is>
          <t>08/06/2026</t>
        </is>
      </c>
      <c r="D41" s="122" t="inlineStr">
        <is>
          <t>08/06/2026</t>
        </is>
      </c>
      <c r="E41" s="122" t="inlineStr">
        <is>
          <t>F6</t>
        </is>
      </c>
      <c r="F41" s="122" t="inlineStr">
        <is>
          <t>—</t>
        </is>
      </c>
      <c r="G41" s="122" t="inlineStr">
        <is>
          <t>Concluída</t>
        </is>
      </c>
    </row>
    <row r="42">
      <c r="A42" s="58" t="inlineStr">
        <is>
          <t>T-39</t>
        </is>
      </c>
      <c r="B42" s="58" t="inlineStr">
        <is>
          <t>Hotfix de contenção (homologação): NullReference no consumidor da fila — v241</t>
        </is>
      </c>
      <c r="C42" s="58" t="inlineStr">
        <is>
          <t>Jun/2026</t>
        </is>
      </c>
      <c r="D42" s="58" t="inlineStr">
        <is>
          <t>Jun/2026</t>
        </is>
      </c>
      <c r="E42" s="58" t="inlineStr">
        <is>
          <t>F6</t>
        </is>
      </c>
      <c r="F42" s="58" t="inlineStr">
        <is>
          <t>RNF02</t>
        </is>
      </c>
      <c r="G42" s="58" t="inlineStr">
        <is>
          <t>Concluída</t>
        </is>
      </c>
    </row>
    <row r="43">
      <c r="A43" s="123" t="inlineStr">
        <is>
          <t>39 tarefas — 39 concluídas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534AB7"/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8" min="1" max="1"/>
    <col width="22" customWidth="1" style="58" min="2" max="2"/>
    <col width="36" customWidth="1" style="58" min="3" max="3"/>
    <col width="14" customWidth="1" style="58" min="4" max="4"/>
    <col width="18" customWidth="1" style="58" min="5" max="5"/>
    <col width="22" customWidth="1" style="58" min="6" max="6"/>
  </cols>
  <sheetData>
    <row r="1" ht="27.75" customHeight="1" s="59">
      <c r="A1" s="76" t="inlineStr">
        <is>
          <t>EQUIPE DO PROJETO</t>
        </is>
      </c>
    </row>
    <row r="2" ht="15" customHeight="1" s="59">
      <c r="A2" s="61" t="inlineStr">
        <is>
          <t>Referência: TAP-AASPCNJ01-001</t>
        </is>
      </c>
    </row>
    <row r="3" ht="18" customHeight="1" s="59">
      <c r="A3" s="77" t="inlineStr">
        <is>
          <t>EQUIPE TIMEWARE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Nome / Papel</t>
        </is>
      </c>
      <c r="B4" s="66" t="inlineStr">
        <is>
          <t>Função</t>
        </is>
      </c>
      <c r="C4" s="66" t="inlineStr">
        <is>
          <t>Responsabilidade</t>
        </is>
      </c>
      <c r="D4" s="66" t="inlineStr">
        <is>
          <t>Período</t>
        </is>
      </c>
      <c r="E4" s="66" t="inlineStr">
        <is>
          <t>Fases</t>
        </is>
      </c>
      <c r="F4" s="66" t="inlineStr">
        <is>
          <t>Observação</t>
        </is>
      </c>
    </row>
    <row r="5" ht="25.5" customHeight="1" s="59">
      <c r="A5" s="99" t="inlineStr">
        <is>
          <t>Abraão Oliveira · Gerente de Projeto</t>
        </is>
      </c>
      <c r="B5" s="69" t="inlineStr">
        <is>
          <t>Gerente de Projeto</t>
        </is>
      </c>
      <c r="C5" s="69" t="inlineStr">
        <is>
          <t>Gestão das entregas, planejamento e aceite</t>
        </is>
      </c>
      <c r="D5" s="69" t="inlineStr">
        <is>
          <t>Out/2025 – Jun/2026</t>
        </is>
      </c>
      <c r="E5" s="69" t="inlineStr">
        <is>
          <t>Todas</t>
        </is>
      </c>
      <c r="F5" s="69" t="inlineStr">
        <is>
          <t>Ponto focal de gestão</t>
        </is>
      </c>
    </row>
    <row r="6" ht="25.5" customHeight="1" s="59">
      <c r="A6" s="100" t="inlineStr">
        <is>
          <t>Cézar Hiraki Velázquez · Tech Lead / DevOps / Arquiteto</t>
        </is>
      </c>
      <c r="B6" s="67" t="inlineStr">
        <is>
          <t>Tech Lead / DevOps / Arquiteto</t>
        </is>
      </c>
      <c r="C6" s="67" t="inlineStr">
        <is>
          <t>Arquitetura, decisões técnicas, CI/CD e GMUD</t>
        </is>
      </c>
      <c r="D6" s="67" t="inlineStr">
        <is>
          <t>Out/2025 – Jun/2026</t>
        </is>
      </c>
      <c r="E6" s="67" t="inlineStr">
        <is>
          <t>Todas</t>
        </is>
      </c>
      <c r="F6" s="67" t="inlineStr">
        <is>
          <t>Ponto focal técnico Timeware</t>
        </is>
      </c>
    </row>
    <row r="7" ht="25.5" customHeight="1" s="59">
      <c r="A7" s="99" t="inlineStr">
        <is>
          <t>Raony Chagas · Desenvolvedor Sênior (Principal)</t>
        </is>
      </c>
      <c r="B7" s="69" t="inlineStr">
        <is>
          <t>Desenvolvedor Sênior</t>
        </is>
      </c>
      <c r="C7" s="69" t="inlineStr">
        <is>
          <t>Worker de captura, fallback, integração CNJ</t>
        </is>
      </c>
      <c r="D7" s="69" t="inlineStr">
        <is>
          <t>Dez/2025 – Jun/2026</t>
        </is>
      </c>
      <c r="E7" s="69" t="inlineStr">
        <is>
          <t>F2–F6</t>
        </is>
      </c>
      <c r="F7" s="69" t="inlineStr">
        <is>
          <t>Desenvolvedor principal</t>
        </is>
      </c>
    </row>
    <row r="8" ht="25.5" customHeight="1" s="59">
      <c r="A8" s="100" t="inlineStr">
        <is>
          <t>Mateus Veloso · Desenvolvedor</t>
        </is>
      </c>
      <c r="B8" s="67" t="inlineStr">
        <is>
          <t>Desenvolvedor</t>
        </is>
      </c>
      <c r="C8" s="67" t="inlineStr">
        <is>
          <t>Integração, fluxos, testes e correções</t>
        </is>
      </c>
      <c r="D8" s="67" t="inlineStr">
        <is>
          <t>Abr/2026 – Jun/2026</t>
        </is>
      </c>
      <c r="E8" s="67" t="inlineStr">
        <is>
          <t>F4, F5</t>
        </is>
      </c>
      <c r="F8" s="67" t="inlineStr">
        <is>
          <t>Incorporado em Abr/2026</t>
        </is>
      </c>
    </row>
    <row r="9" ht="25.5" customHeight="1" s="59">
      <c r="A9" s="99" t="inlineStr">
        <is>
          <t>Lucas Batista · Desenvolvedor</t>
        </is>
      </c>
      <c r="B9" s="69" t="inlineStr">
        <is>
          <t>Desenvolvedor</t>
        </is>
      </c>
      <c r="C9" s="69" t="inlineStr">
        <is>
          <t>Funcionalidades complementares e correções</t>
        </is>
      </c>
      <c r="D9" s="69" t="inlineStr">
        <is>
          <t>Abr/2026 – Jun/2026</t>
        </is>
      </c>
      <c r="E9" s="69" t="inlineStr">
        <is>
          <t>F4, F5</t>
        </is>
      </c>
      <c r="F9" s="69" t="inlineStr">
        <is>
          <t>Time de desenvolvimento</t>
        </is>
      </c>
    </row>
    <row r="10" ht="25.5" customHeight="1" s="59">
      <c r="A10" s="100" t="inlineStr">
        <is>
          <t>Caroline Sousa · Analista de QA</t>
        </is>
      </c>
      <c r="B10" s="67" t="inlineStr">
        <is>
          <t>QA</t>
        </is>
      </c>
      <c r="C10" s="67" t="inlineStr">
        <is>
          <t>Testes de fluxo e validação dos critérios de aceite</t>
        </is>
      </c>
      <c r="D10" s="67" t="inlineStr">
        <is>
          <t>Mai/2026 – Jun/2026</t>
        </is>
      </c>
      <c r="E10" s="67" t="inlineStr">
        <is>
          <t>F5</t>
        </is>
      </c>
      <c r="F10" s="67" t="inlineStr">
        <is>
          <t>Analista de QA</t>
        </is>
      </c>
    </row>
    <row r="11">
      <c r="A11" s="58" t="inlineStr">
        <is>
          <t>Jonathan Barbosa · Auditor GQA (independente)</t>
        </is>
      </c>
      <c r="B11" s="58" t="inlineStr">
        <is>
          <t>Auditor GQA</t>
        </is>
      </c>
      <c r="C11" s="58" t="inlineStr">
        <is>
          <t>Verificação de aderência ao processo MPS-SW</t>
        </is>
      </c>
      <c r="D11" s="58" t="inlineStr">
        <is>
          <t>Jun/2026</t>
        </is>
      </c>
      <c r="E11" s="58" t="inlineStr">
        <is>
          <t>Auditoria</t>
        </is>
      </c>
      <c r="F11" s="58" t="inlineStr">
        <is>
          <t>Não participa da execução</t>
        </is>
      </c>
    </row>
    <row r="12" ht="18" customHeight="1" s="59">
      <c r="A12" s="101" t="inlineStr">
        <is>
          <t>PARTES INTERESSADAS — CLIENTE (AASP)</t>
        </is>
      </c>
      <c r="B12" s="63" t="n"/>
      <c r="C12" s="63" t="n"/>
      <c r="D12" s="63" t="n"/>
      <c r="E12" s="63" t="n"/>
      <c r="F12" s="63" t="n"/>
    </row>
    <row r="13" ht="15" customHeight="1" s="59">
      <c r="A13" s="102" t="inlineStr">
        <is>
          <t>Nome / Papel</t>
        </is>
      </c>
      <c r="B13" s="102" t="inlineStr">
        <is>
          <t>Função</t>
        </is>
      </c>
      <c r="C13" s="102" t="inlineStr">
        <is>
          <t>Envolvimento</t>
        </is>
      </c>
      <c r="D13" s="102" t="inlineStr">
        <is>
          <t>Aceite</t>
        </is>
      </c>
      <c r="E13" s="102" t="n"/>
      <c r="F13" s="102" t="n"/>
    </row>
    <row r="14" ht="24" customHeight="1" s="59">
      <c r="A14" s="103" t="inlineStr">
        <is>
          <t>Marcos Correa Fernandez Turnes</t>
        </is>
      </c>
      <c r="B14" s="79" t="inlineStr">
        <is>
          <t>Representante / Patrocinador</t>
        </is>
      </c>
      <c r="C14" s="79" t="inlineStr">
        <is>
          <t>Autorização do projeto, aceite formal da entrega</t>
        </is>
      </c>
      <c r="D14" s="79" t="inlineStr">
        <is>
          <t>TAP + TAE</t>
        </is>
      </c>
      <c r="E14" s="79" t="n"/>
      <c r="F14" s="79" t="n"/>
    </row>
  </sheetData>
  <mergeCells count="4">
    <mergeCell ref="A3:F3"/>
    <mergeCell ref="A2:F2"/>
    <mergeCell ref="A1:F1"/>
    <mergeCell ref="A12:F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A7517"/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38" customWidth="1" style="58" min="2" max="2"/>
    <col width="12" customWidth="1" style="58" min="3" max="3"/>
    <col width="8" customWidth="1" style="58" min="4" max="6"/>
    <col width="30" customWidth="1" style="58" min="7" max="7"/>
    <col width="16" customWidth="1" style="58" min="8" max="8"/>
  </cols>
  <sheetData>
    <row r="1" ht="27.75" customHeight="1" s="59">
      <c r="A1" s="76" t="inlineStr">
        <is>
          <t>ACOMPANHAMENTO — RISCOS E CONTROLE DE MUDANÇAS</t>
        </is>
      </c>
    </row>
    <row r="2" ht="15" customHeight="1" s="59">
      <c r="A2" s="61" t="inlineStr">
        <is>
          <t>Referência: RAC-AASPCNJ01-001 · PLA-AASPCNJ01-001 · Escala Prob./Imp.: 1=Baixo · 2=Médio · 3=Alto · Exposição = P×I</t>
        </is>
      </c>
    </row>
    <row r="3" ht="21.75" customHeight="1" s="59">
      <c r="A3" s="62" t="inlineStr">
        <is>
          <t>REGISTRO DE RISCOS</t>
        </is>
      </c>
      <c r="B3" s="63" t="n"/>
      <c r="C3" s="63" t="n"/>
      <c r="D3" s="63" t="n"/>
      <c r="E3" s="63" t="n"/>
      <c r="F3" s="63" t="n"/>
      <c r="G3" s="63" t="n"/>
      <c r="H3" s="63" t="n"/>
    </row>
    <row r="4" ht="15" customHeight="1" s="59">
      <c r="A4" s="66" t="inlineStr">
        <is>
          <t>ID</t>
        </is>
      </c>
      <c r="B4" s="66" t="inlineStr">
        <is>
          <t>Risco</t>
        </is>
      </c>
      <c r="C4" s="66" t="inlineStr">
        <is>
          <t>Categoria</t>
        </is>
      </c>
      <c r="D4" s="66" t="inlineStr">
        <is>
          <t>Prob.</t>
        </is>
      </c>
      <c r="E4" s="66" t="inlineStr">
        <is>
          <t>Imp.</t>
        </is>
      </c>
      <c r="F4" s="66" t="inlineStr">
        <is>
          <t>Exp.</t>
        </is>
      </c>
      <c r="G4" s="66" t="inlineStr">
        <is>
          <t>Resposta / Tratamento</t>
        </is>
      </c>
      <c r="H4" s="66" t="inlineStr">
        <is>
          <t>Status</t>
        </is>
      </c>
    </row>
    <row r="5" ht="27.75" customHeight="1" s="59">
      <c r="A5" s="97" t="inlineStr">
        <is>
          <t>R-01</t>
        </is>
      </c>
      <c r="B5" s="88" t="inlineStr">
        <is>
          <t>Indisponibilidade ou alteração na API DataJud/CNJ</t>
        </is>
      </c>
      <c r="C5" s="89" t="inlineStr">
        <is>
          <t>Externo</t>
        </is>
      </c>
      <c r="D5" s="71" t="inlineStr">
        <is>
          <t>1</t>
        </is>
      </c>
      <c r="E5" s="71" t="inlineStr">
        <is>
          <t>2</t>
        </is>
      </c>
      <c r="F5" s="71" t="inlineStr">
        <is>
          <t>2</t>
        </is>
      </c>
      <c r="G5" s="88" t="inlineStr">
        <is>
          <t>Mitigar: manter APIs parceiras como fallback configurável por processo via CodigoFonteAPI</t>
        </is>
      </c>
      <c r="H5" s="71" t="inlineStr">
        <is>
          <t>✅ Controlado</t>
        </is>
      </c>
    </row>
    <row r="6" ht="27.75" customHeight="1" s="59">
      <c r="A6" s="98" t="inlineStr">
        <is>
          <t>R-02</t>
        </is>
      </c>
      <c r="B6" s="67" t="inlineStr">
        <is>
          <t>Travamento da fila RabbitMQ</t>
        </is>
      </c>
      <c r="C6" s="73" t="inlineStr">
        <is>
          <t>Infra</t>
        </is>
      </c>
      <c r="D6" s="71" t="inlineStr">
        <is>
          <t>3</t>
        </is>
      </c>
      <c r="E6" s="71" t="inlineStr">
        <is>
          <t>3</t>
        </is>
      </c>
      <c r="F6" s="104" t="inlineStr">
        <is>
          <t>9</t>
        </is>
      </c>
      <c r="G6" s="67" t="inlineStr">
        <is>
          <t>Mitigar: logging aprimorado, tratamento de exceção na publicação, monitoramento ativo da fila</t>
        </is>
      </c>
      <c r="H6" s="97" t="inlineStr">
        <is>
          <t>⚠️ Ocorreu — corrigido</t>
        </is>
      </c>
    </row>
    <row r="7" ht="27.75" customHeight="1" s="59">
      <c r="A7" s="97" t="inlineStr">
        <is>
          <t>R-03</t>
        </is>
      </c>
      <c r="B7" s="88" t="inlineStr">
        <is>
          <t>Processos em segredo de justiça sem cobertura</t>
        </is>
      </c>
      <c r="C7" s="89" t="inlineStr">
        <is>
          <t>Técnico</t>
        </is>
      </c>
      <c r="D7" s="71" t="inlineStr">
        <is>
          <t>3</t>
        </is>
      </c>
      <c r="E7" s="71" t="inlineStr">
        <is>
          <t>2</t>
        </is>
      </c>
      <c r="F7" s="104" t="inlineStr">
        <is>
          <t>6</t>
        </is>
      </c>
      <c r="G7" s="88" t="inlineStr">
        <is>
          <t>Mitigar: campo Segredo por instância e fallback EPROC/ESAJ ou parceiras com credencial específica</t>
        </is>
      </c>
      <c r="H7" s="71" t="inlineStr">
        <is>
          <t>✅ Controlado</t>
        </is>
      </c>
    </row>
    <row r="8" ht="27.75" customHeight="1" s="59">
      <c r="A8" s="98" t="inlineStr">
        <is>
          <t>R-04</t>
        </is>
      </c>
      <c r="B8" s="67" t="inlineStr">
        <is>
          <t>Variação de layout dos portais EPROC/ESAJ</t>
        </is>
      </c>
      <c r="C8" s="73" t="inlineStr">
        <is>
          <t>Técnico</t>
        </is>
      </c>
      <c r="D8" s="71" t="inlineStr">
        <is>
          <t>2</t>
        </is>
      </c>
      <c r="E8" s="71" t="inlineStr">
        <is>
          <t>2</t>
        </is>
      </c>
      <c r="F8" s="97" t="inlineStr">
        <is>
          <t>4</t>
        </is>
      </c>
      <c r="G8" s="67" t="inlineStr">
        <is>
          <t>Aceitar: CNJ como fonte primária reduz exposição; EPROC apenas como fallback</t>
        </is>
      </c>
      <c r="H8" s="71" t="inlineStr">
        <is>
          <t>✅ Controlado</t>
        </is>
      </c>
    </row>
    <row r="9" ht="27.75" customHeight="1" s="59">
      <c r="A9" s="97" t="inlineStr">
        <is>
          <t>R-05</t>
        </is>
      </c>
      <c r="B9" s="88" t="inlineStr">
        <is>
          <t>Custo duplo durante período de migração</t>
        </is>
      </c>
      <c r="C9" s="89" t="inlineStr">
        <is>
          <t>Financeiro</t>
        </is>
      </c>
      <c r="D9" s="71" t="inlineStr">
        <is>
          <t>2</t>
        </is>
      </c>
      <c r="E9" s="71" t="inlineStr">
        <is>
          <t>2</t>
        </is>
      </c>
      <c r="F9" s="97" t="inlineStr">
        <is>
          <t>4</t>
        </is>
      </c>
      <c r="G9" s="88" t="inlineStr">
        <is>
          <t>Mitigar: desligamento automático nas parceiras após primeira captura bem-sucedida via CNJ</t>
        </is>
      </c>
      <c r="H9" s="71" t="inlineStr">
        <is>
          <t>✅ Controlado</t>
        </is>
      </c>
    </row>
    <row r="10" ht="27.75" customHeight="1" s="59">
      <c r="A10" s="98" t="inlineStr">
        <is>
          <t>R-06</t>
        </is>
      </c>
      <c r="B10" s="67" t="inlineStr">
        <is>
          <t>Erros parciais por instância não tratados</t>
        </is>
      </c>
      <c r="C10" s="73" t="inlineStr">
        <is>
          <t>Técnico</t>
        </is>
      </c>
      <c r="D10" s="71" t="inlineStr">
        <is>
          <t>2</t>
        </is>
      </c>
      <c r="E10" s="71" t="inlineStr">
        <is>
          <t>3</t>
        </is>
      </c>
      <c r="F10" s="104" t="inlineStr">
        <is>
          <t>6</t>
        </is>
      </c>
      <c r="G10" s="67" t="inlineStr">
        <is>
          <t>Mitigar: controle granular de status por instância nas tabelas ProcessoCapturaLogin e ProcessoCaptura</t>
        </is>
      </c>
      <c r="H10" s="97" t="inlineStr">
        <is>
          <t>⚠️ Ocorreu — corrigido</t>
        </is>
      </c>
    </row>
    <row r="11"/>
    <row r="12"/>
    <row r="13" ht="21.75" customHeight="1" s="59">
      <c r="A13" s="62" t="inlineStr">
        <is>
          <t>CONTROLE DE MUDANÇAS DE ESCOPO</t>
        </is>
      </c>
      <c r="B13" s="63" t="n"/>
      <c r="C13" s="63" t="n"/>
      <c r="D13" s="63" t="n"/>
      <c r="E13" s="63" t="n"/>
      <c r="F13" s="63" t="n"/>
      <c r="G13" s="63" t="n"/>
      <c r="H13" s="63" t="n"/>
    </row>
    <row r="14" ht="15" customHeight="1" s="59">
      <c r="A14" s="66" t="inlineStr">
        <is>
          <t>Código</t>
        </is>
      </c>
      <c r="B14" s="66" t="inlineStr">
        <is>
          <t>Descrição</t>
        </is>
      </c>
      <c r="C14" s="66" t="inlineStr">
        <is>
          <t>Fase</t>
        </is>
      </c>
      <c r="D14" s="66" t="inlineStr">
        <is>
          <t>Data</t>
        </is>
      </c>
      <c r="E14" s="66" t="n"/>
      <c r="F14" s="66" t="n"/>
      <c r="G14" s="66" t="inlineStr">
        <is>
          <t>Aprovado por</t>
        </is>
      </c>
      <c r="H14" s="66" t="inlineStr">
        <is>
          <t>Status</t>
        </is>
      </c>
    </row>
    <row r="15" ht="24" customHeight="1" s="59">
      <c r="A15" s="68" t="inlineStr">
        <is>
          <t>CR-AASPCNJ01-001</t>
        </is>
      </c>
      <c r="B15" s="69" t="inlineStr">
        <is>
          <t>Pausa do desenvolvimento da captura de 2ª instância EPROC para priorizar integração CNJ</t>
        </is>
      </c>
      <c r="C15" s="69" t="inlineStr">
        <is>
          <t>F4</t>
        </is>
      </c>
      <c r="D15" s="69" t="inlineStr">
        <is>
          <t>Abr/2026</t>
        </is>
      </c>
      <c r="E15" s="69" t="n"/>
      <c r="F15" s="69" t="n"/>
      <c r="G15" s="69" t="inlineStr">
        <is>
          <t>Marcos Correa Fernandez Turnes</t>
        </is>
      </c>
      <c r="H15" s="71" t="inlineStr">
        <is>
          <t>✅ Aprovado</t>
        </is>
      </c>
    </row>
    <row r="16" ht="24" customHeight="1" s="59">
      <c r="A16" s="72" t="inlineStr">
        <is>
          <t>CR-AASPCNJ01-002</t>
        </is>
      </c>
      <c r="B16" s="67" t="inlineStr">
        <is>
          <t>Retomada da captura de 2ª instância EPROC após conclusão da Fase 5</t>
        </is>
      </c>
      <c r="C16" s="67" t="inlineStr">
        <is>
          <t>F6</t>
        </is>
      </c>
      <c r="D16" s="67" t="inlineStr">
        <is>
          <t>Jun/2026</t>
        </is>
      </c>
      <c r="E16" s="67" t="n"/>
      <c r="F16" s="67" t="n"/>
      <c r="G16" s="67" t="inlineStr">
        <is>
          <t>Marcos Correa Fernandez Turnes</t>
        </is>
      </c>
      <c r="H16" s="71" t="inlineStr">
        <is>
          <t>✅ Aprovado</t>
        </is>
      </c>
    </row>
  </sheetData>
  <mergeCells count="4">
    <mergeCell ref="A3:H3"/>
    <mergeCell ref="A2:H2"/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42" customWidth="1" style="59" min="2" max="2"/>
    <col width="8" customWidth="1" style="59" min="3" max="3"/>
    <col width="8" customWidth="1" style="59" min="4" max="4"/>
    <col width="8" customWidth="1" style="59" min="5" max="5"/>
    <col width="14" customWidth="1" style="59" min="6" max="6"/>
    <col width="44" customWidth="1" style="59" min="7" max="7"/>
    <col width="14" customWidth="1" style="59" min="8" max="8"/>
    <col width="14" customWidth="1" style="59" min="9" max="9"/>
  </cols>
  <sheetData>
    <row r="1" ht="22" customHeight="1" s="59">
      <c r="A1" s="118" t="inlineStr">
        <is>
          <t>REGISTRO DE RISCOS</t>
        </is>
      </c>
    </row>
    <row r="2">
      <c r="A2" s="119" t="inlineStr">
        <is>
          <t>Referência: RAC-AASPCNJ01-001 · Escala Prob./Imp.: 1=Baixo · 2=Médio · 3=Alto · Exposição = P×I</t>
        </is>
      </c>
    </row>
    <row r="3">
      <c r="A3" s="120" t="inlineStr">
        <is>
          <t>ID</t>
        </is>
      </c>
      <c r="B3" s="120" t="inlineStr">
        <is>
          <t>Risco</t>
        </is>
      </c>
      <c r="C3" s="120" t="inlineStr">
        <is>
          <t>Prob.</t>
        </is>
      </c>
      <c r="D3" s="120" t="inlineStr">
        <is>
          <t>Imp.</t>
        </is>
      </c>
      <c r="E3" s="120" t="inlineStr">
        <is>
          <t>Exp.</t>
        </is>
      </c>
      <c r="F3" s="120" t="inlineStr">
        <is>
          <t>Categoria</t>
        </is>
      </c>
      <c r="G3" s="120" t="inlineStr">
        <is>
          <t>Resposta / Tratamento</t>
        </is>
      </c>
      <c r="H3" s="120" t="inlineStr">
        <is>
          <t>Ocorreu?</t>
        </is>
      </c>
      <c r="I3" s="120" t="inlineStr">
        <is>
          <t>Status</t>
        </is>
      </c>
    </row>
    <row r="4">
      <c r="A4" s="121" t="inlineStr">
        <is>
          <t>R-01</t>
        </is>
      </c>
      <c r="B4" s="121" t="inlineStr">
        <is>
          <t>Indisponibilidade ou alteração na API DataJud/CNJ</t>
        </is>
      </c>
      <c r="C4" s="121" t="n">
        <v>1</v>
      </c>
      <c r="D4" s="121" t="n">
        <v>2</v>
      </c>
      <c r="E4" s="121" t="n">
        <v>2</v>
      </c>
      <c r="F4" s="121" t="inlineStr">
        <is>
          <t>Externo</t>
        </is>
      </c>
      <c r="G4" s="121" t="inlineStr">
        <is>
          <t>Mitigar: manter APIs parceiras como fallback configurável por processo via CodigoFonteAPI</t>
        </is>
      </c>
      <c r="H4" s="121" t="inlineStr">
        <is>
          <t>Não</t>
        </is>
      </c>
      <c r="I4" s="121" t="inlineStr">
        <is>
          <t>✅ Controlado</t>
        </is>
      </c>
    </row>
    <row r="5">
      <c r="A5" s="122" t="inlineStr">
        <is>
          <t>R-02</t>
        </is>
      </c>
      <c r="B5" s="122" t="inlineStr">
        <is>
          <t>Travamento da fila RabbitMQ</t>
        </is>
      </c>
      <c r="C5" s="122" t="n">
        <v>3</v>
      </c>
      <c r="D5" s="122" t="n">
        <v>3</v>
      </c>
      <c r="E5" s="122" t="n">
        <v>9</v>
      </c>
      <c r="F5" s="122" t="inlineStr">
        <is>
          <t>Infra</t>
        </is>
      </c>
      <c r="G5" s="122" t="inlineStr">
        <is>
          <t>Mitigar: logging aprimorado, tratamento de exceção na publicação, monitoramento ativo da fila</t>
        </is>
      </c>
      <c r="H5" s="122" t="inlineStr">
        <is>
          <t>Sim (137 mil itens)</t>
        </is>
      </c>
      <c r="I5" s="122" t="inlineStr">
        <is>
          <t>⚠️ Ocorreu — corrigido</t>
        </is>
      </c>
    </row>
    <row r="6">
      <c r="A6" s="121" t="inlineStr">
        <is>
          <t>R-03</t>
        </is>
      </c>
      <c r="B6" s="121" t="inlineStr">
        <is>
          <t>Processos em segredo de justiça sem cobertura</t>
        </is>
      </c>
      <c r="C6" s="121" t="n">
        <v>3</v>
      </c>
      <c r="D6" s="121" t="n">
        <v>2</v>
      </c>
      <c r="E6" s="121" t="n">
        <v>6</v>
      </c>
      <c r="F6" s="121" t="inlineStr">
        <is>
          <t>Técnico</t>
        </is>
      </c>
      <c r="G6" s="121" t="inlineStr">
        <is>
          <t>Mitigar: campo Segredo por instância e fallback EPROC/ESAJ ou parceiras com credencial específica</t>
        </is>
      </c>
      <c r="H6" s="121" t="inlineStr">
        <is>
          <t>Sim</t>
        </is>
      </c>
      <c r="I6" s="121" t="inlineStr">
        <is>
          <t>✅ Gerenciado</t>
        </is>
      </c>
    </row>
    <row r="7">
      <c r="A7" s="122" t="inlineStr">
        <is>
          <t>R-04</t>
        </is>
      </c>
      <c r="B7" s="122" t="inlineStr">
        <is>
          <t>Variação de layout dos portais EPROC/ESAJ</t>
        </is>
      </c>
      <c r="C7" s="122" t="n">
        <v>2</v>
      </c>
      <c r="D7" s="122" t="n">
        <v>2</v>
      </c>
      <c r="E7" s="122" t="n">
        <v>4</v>
      </c>
      <c r="F7" s="122" t="inlineStr">
        <is>
          <t>Técnico</t>
        </is>
      </c>
      <c r="G7" s="122" t="inlineStr">
        <is>
          <t>Aceitar: CNJ como fonte primária reduz exposição; EPROC apenas como fallback</t>
        </is>
      </c>
      <c r="H7" s="122" t="inlineStr">
        <is>
          <t>Parcial</t>
        </is>
      </c>
      <c r="I7" s="122" t="inlineStr">
        <is>
          <t>✅ Mitigado</t>
        </is>
      </c>
    </row>
    <row r="8">
      <c r="A8" s="121" t="inlineStr">
        <is>
          <t>R-05</t>
        </is>
      </c>
      <c r="B8" s="121" t="inlineStr">
        <is>
          <t>Custo duplo durante período de migração</t>
        </is>
      </c>
      <c r="C8" s="121" t="n">
        <v>2</v>
      </c>
      <c r="D8" s="121" t="n">
        <v>2</v>
      </c>
      <c r="E8" s="121" t="n">
        <v>4</v>
      </c>
      <c r="F8" s="121" t="inlineStr">
        <is>
          <t>Financeiro</t>
        </is>
      </c>
      <c r="G8" s="121" t="inlineStr">
        <is>
          <t>Mitigar: desligamento automático nas parceiras após primeira captura bem-sucedida via CNJ</t>
        </is>
      </c>
      <c r="H8" s="121" t="inlineStr">
        <is>
          <t>Não</t>
        </is>
      </c>
      <c r="I8" s="121" t="inlineStr">
        <is>
          <t>✅ Mitigado</t>
        </is>
      </c>
    </row>
    <row r="9">
      <c r="A9" s="122" t="inlineStr">
        <is>
          <t>R-06</t>
        </is>
      </c>
      <c r="B9" s="122" t="inlineStr">
        <is>
          <t>Erros parciais por instância não tratados</t>
        </is>
      </c>
      <c r="C9" s="122" t="n">
        <v>2</v>
      </c>
      <c r="D9" s="122" t="n">
        <v>3</v>
      </c>
      <c r="E9" s="122" t="n">
        <v>6</v>
      </c>
      <c r="F9" s="122" t="inlineStr">
        <is>
          <t>Técnico</t>
        </is>
      </c>
      <c r="G9" s="122" t="inlineStr">
        <is>
          <t>Mitigar: controle granular de status por instância nas tabelas ProcessoCapturaLogin e ProcessoCaptura</t>
        </is>
      </c>
      <c r="H9" s="122" t="inlineStr">
        <is>
          <t>Sim</t>
        </is>
      </c>
      <c r="I9" s="122" t="inlineStr">
        <is>
          <t>⚠️ Ocorreu — corrigido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8" customWidth="1" style="59" min="1" max="1"/>
    <col width="48" customWidth="1" style="59" min="2" max="2"/>
    <col width="10" customWidth="1" style="59" min="3" max="3"/>
    <col width="12" customWidth="1" style="59" min="4" max="4"/>
    <col width="20" customWidth="1" style="59" min="5" max="5"/>
    <col width="22" customWidth="1" style="59" min="6" max="6"/>
    <col width="30" customWidth="1" style="59" min="7" max="7"/>
    <col width="14" customWidth="1" style="59" min="8" max="8"/>
  </cols>
  <sheetData>
    <row r="1" ht="22" customHeight="1" s="59">
      <c r="A1" s="118" t="inlineStr">
        <is>
          <t>CHANGE REQUESTS — REGISTRO CONSOLIDADO</t>
        </is>
      </c>
    </row>
    <row r="2">
      <c r="A2" s="119" t="inlineStr">
        <is>
          <t>Referência: CR-AASPCNJ01-001 · CR-AASPCNJ01-002 · RAC-AASPCNJ01-001</t>
        </is>
      </c>
    </row>
    <row r="3">
      <c r="A3" s="120" t="inlineStr">
        <is>
          <t>CR</t>
        </is>
      </c>
      <c r="B3" s="120" t="inlineStr">
        <is>
          <t>Descrição</t>
        </is>
      </c>
      <c r="C3" s="120" t="inlineStr">
        <is>
          <t>Fase</t>
        </is>
      </c>
      <c r="D3" s="120" t="inlineStr">
        <is>
          <t>Data</t>
        </is>
      </c>
      <c r="E3" s="120" t="inlineStr">
        <is>
          <t>Impacto no prazo</t>
        </is>
      </c>
      <c r="F3" s="120" t="inlineStr">
        <is>
          <t>Tipo</t>
        </is>
      </c>
      <c r="G3" s="120" t="inlineStr">
        <is>
          <t>Aprovado por</t>
        </is>
      </c>
      <c r="H3" s="120" t="inlineStr">
        <is>
          <t>Status</t>
        </is>
      </c>
    </row>
    <row r="4">
      <c r="A4" s="121" t="inlineStr">
        <is>
          <t>CR-AASPCNJ01-001</t>
        </is>
      </c>
      <c r="B4" s="121" t="inlineStr">
        <is>
          <t>Pausa do desenvolvimento da captura de 2ª instância EPROC para priorizar integração CNJ</t>
        </is>
      </c>
      <c r="C4" s="121" t="inlineStr">
        <is>
          <t>F4</t>
        </is>
      </c>
      <c r="D4" s="121" t="inlineStr">
        <is>
          <t>Abr/2026</t>
        </is>
      </c>
      <c r="E4" s="121" t="inlineStr">
        <is>
          <t>Absorvido na Fase 4</t>
        </is>
      </c>
      <c r="F4" s="121" t="inlineStr">
        <is>
          <t>Troca de prioridade</t>
        </is>
      </c>
      <c r="G4" s="121" t="inlineStr">
        <is>
          <t>Marcos Correa Fernandez Turnes</t>
        </is>
      </c>
      <c r="H4" s="121" t="inlineStr">
        <is>
          <t>✅ Aprovado</t>
        </is>
      </c>
    </row>
    <row r="5">
      <c r="A5" s="122" t="inlineStr">
        <is>
          <t>CR-AASPCNJ01-002</t>
        </is>
      </c>
      <c r="B5" s="122" t="inlineStr">
        <is>
          <t>Retomada da captura de 2ª instância EPROC após conclusão da Fase 5 / implantação (Fase 6)</t>
        </is>
      </c>
      <c r="C5" s="122" t="inlineStr">
        <is>
          <t>F6</t>
        </is>
      </c>
      <c r="D5" s="122" t="inlineStr">
        <is>
          <t>Jun/2026</t>
        </is>
      </c>
      <c r="E5" s="122" t="inlineStr">
        <is>
          <t>Sem impacto líquido</t>
        </is>
      </c>
      <c r="F5" s="122" t="inlineStr">
        <is>
          <t>Reinclusão de escopo</t>
        </is>
      </c>
      <c r="G5" s="122" t="inlineStr">
        <is>
          <t>Marcos Correa Fernandez Turnes</t>
        </is>
      </c>
      <c r="H5" s="122" t="inlineStr">
        <is>
          <t>✅ Aprovado</t>
        </is>
      </c>
    </row>
    <row r="7">
      <c r="A7" s="124" t="inlineStr">
        <is>
          <t>IMPACTO CONSOLIDADO</t>
        </is>
      </c>
    </row>
    <row r="8">
      <c r="A8" s="124" t="inlineStr">
        <is>
          <t>Prazo</t>
        </is>
      </c>
      <c r="B8" s="125" t="inlineStr">
        <is>
          <t>Sem impacto líquido — recursos realocados para a integração CNJ; 2ª instância retomada na Fase 6</t>
        </is>
      </c>
    </row>
    <row r="9">
      <c r="A9" s="124" t="inlineStr">
        <is>
          <t>Custo</t>
        </is>
      </c>
      <c r="B9" s="125" t="inlineStr">
        <is>
          <t>Neutro — sem custo adicional</t>
        </is>
      </c>
    </row>
    <row r="10">
      <c r="A10" s="124" t="inlineStr">
        <is>
          <t>Escopo</t>
        </is>
      </c>
      <c r="B10" s="125" t="inlineStr">
        <is>
          <t>2ª instância EPROC preservada (adiada); priorização da CNJ como fonte de maior impacto financeiro</t>
        </is>
      </c>
    </row>
  </sheetData>
  <mergeCells count="5">
    <mergeCell ref="B8:H8"/>
    <mergeCell ref="B9:H9"/>
    <mergeCell ref="A7:H7"/>
    <mergeCell ref="B10:H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58" min="1" max="1"/>
    <col width="22" customWidth="1" style="58" min="2" max="2"/>
    <col width="18" customWidth="1" style="58" min="3" max="4"/>
    <col width="14" customWidth="1" style="58" min="5" max="5"/>
    <col width="22" customWidth="1" style="58" min="6" max="6"/>
  </cols>
  <sheetData>
    <row r="1" ht="27.75" customHeight="1" s="59">
      <c r="A1" s="76" t="inlineStr">
        <is>
          <t>REGISTRO DE MEDIÇÃO DO PROJETO</t>
        </is>
      </c>
    </row>
    <row r="2" ht="15" customHeight="1" s="59">
      <c r="A2" s="61" t="inlineStr">
        <is>
          <t>Referência: MED-AASPCNJ01-001 · PLA-MED-001 (catálogo organizacional de medidas)</t>
        </is>
      </c>
    </row>
    <row r="3" ht="21.75" customHeight="1" s="59">
      <c r="A3" s="62" t="inlineStr">
        <is>
          <t>INDICADORES DE PROJETO — RESULTADOS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Indicador (MED)</t>
        </is>
      </c>
      <c r="B4" s="66" t="inlineStr">
        <is>
          <t>Valor Real</t>
        </is>
      </c>
      <c r="C4" s="66" t="inlineStr">
        <is>
          <t>Meta Org.</t>
        </is>
      </c>
      <c r="D4" s="66" t="inlineStr">
        <is>
          <t>Status Meta</t>
        </is>
      </c>
      <c r="E4" s="66" t="inlineStr">
        <is>
          <t>Evidência</t>
        </is>
      </c>
      <c r="F4" s="66" t="inlineStr">
        <is>
          <t>Referência</t>
        </is>
      </c>
    </row>
    <row r="5" ht="27.75" customHeight="1" s="59">
      <c r="A5" s="68" t="inlineStr">
        <is>
          <t>Aderência ao cronograma</t>
        </is>
      </c>
      <c r="B5" s="69" t="inlineStr">
        <is>
          <t>~88% — dev concluído 01/06 (~30d após alvo 02/05); meta ≥85% atingida (CR-AASPCNJ01-002)</t>
        </is>
      </c>
      <c r="C5" s="69" t="inlineStr">
        <is>
          <t>≥ 85%</t>
        </is>
      </c>
      <c r="D5" s="71" t="inlineStr">
        <is>
          <t>✅ Atingida</t>
        </is>
      </c>
      <c r="E5" s="74" t="inlineStr">
        <is>
          <t>Cronograma executado</t>
        </is>
      </c>
      <c r="F5" s="74" t="inlineStr">
        <is>
          <t>MED-AASPCNJ01-001 §3</t>
        </is>
      </c>
    </row>
    <row r="6" ht="27.75" customHeight="1" s="59">
      <c r="A6" s="72" t="inlineStr">
        <is>
          <t>Desvio de esforço (horas)</t>
        </is>
      </c>
      <c r="B6" s="67" t="inlineStr">
        <is>
          <t>+~6% (+38 h: ~624 h vs 586 h estimadas)</t>
        </is>
      </c>
      <c r="C6" s="67" t="inlineStr">
        <is>
          <t>≤ 10%</t>
        </is>
      </c>
      <c r="D6" s="71" t="inlineStr">
        <is>
          <t>✅ Atingida</t>
        </is>
      </c>
      <c r="E6" s="75" t="inlineStr">
        <is>
          <t>med-horas-clickup-213-256.csv</t>
        </is>
      </c>
      <c r="F6" s="75" t="inlineStr">
        <is>
          <t>MED-AASPCNJ01-001 §3</t>
        </is>
      </c>
    </row>
    <row r="7" ht="27.75" customHeight="1" s="59">
      <c r="A7" s="68" t="inlineStr">
        <is>
          <t>Taxa de contenção de defeitos</t>
        </is>
      </c>
      <c r="B7" s="69" t="inlineStr">
        <is>
          <t>100% (9 bugs corrigidos antes da entrega)</t>
        </is>
      </c>
      <c r="C7" s="69" t="inlineStr">
        <is>
          <t>≥ 95%</t>
        </is>
      </c>
      <c r="D7" s="71" t="inlineStr">
        <is>
          <t>✅ Atingida</t>
        </is>
      </c>
      <c r="E7" s="74" t="inlineStr">
        <is>
          <t>vv-bugs-clickup.csv</t>
        </is>
      </c>
      <c r="F7" s="74" t="inlineStr">
        <is>
          <t>MED-AASPCNJ01-001 §5</t>
        </is>
      </c>
    </row>
    <row r="8" ht="27.75" customHeight="1" s="59">
      <c r="A8" s="72" t="inlineStr">
        <is>
          <t>Defeitos escapados para produção</t>
        </is>
      </c>
      <c r="B8" s="67" t="inlineStr">
        <is>
          <t>0</t>
        </is>
      </c>
      <c r="C8" s="67" t="inlineStr">
        <is>
          <t>0</t>
        </is>
      </c>
      <c r="D8" s="71" t="inlineStr">
        <is>
          <t>✅ Atingida</t>
        </is>
      </c>
      <c r="E8" s="75" t="inlineStr">
        <is>
          <t>Validação em produção</t>
        </is>
      </c>
      <c r="F8" s="75" t="inlineStr">
        <is>
          <t>MED-AASPCNJ01-001 §5</t>
        </is>
      </c>
    </row>
    <row r="9" ht="27.75" customHeight="1" s="59">
      <c r="A9" s="68" t="inlineStr">
        <is>
          <t>Retrabalho (% do esforço total)</t>
        </is>
      </c>
      <c r="B9" s="69" t="inlineStr">
        <is>
          <t>0%</t>
        </is>
      </c>
      <c r="C9" s="69" t="inlineStr">
        <is>
          <t>≤ 5%</t>
        </is>
      </c>
      <c r="D9" s="71" t="inlineStr">
        <is>
          <t>✅ Atingida</t>
        </is>
      </c>
      <c r="E9" s="74" t="inlineStr">
        <is>
          <t>—</t>
        </is>
      </c>
      <c r="F9" s="74" t="inlineStr">
        <is>
          <t>MED-AASPCNJ01-001 §6</t>
        </is>
      </c>
    </row>
    <row r="10" ht="27.75" customHeight="1" s="59">
      <c r="A10" s="72" t="inlineStr">
        <is>
          <t>Escopo realizado vs. planejado</t>
        </is>
      </c>
      <c r="B10" s="67" t="inlineStr">
        <is>
          <t>100% (12 RF + 6 RNF entregues)</t>
        </is>
      </c>
      <c r="C10" s="67" t="inlineStr">
        <is>
          <t>100%</t>
        </is>
      </c>
      <c r="D10" s="71" t="inlineStr">
        <is>
          <t>✅ Atingida</t>
        </is>
      </c>
      <c r="E10" s="75" t="inlineStr">
        <is>
          <t>TAE-AASPCNJ01-001</t>
        </is>
      </c>
      <c r="F10" s="75" t="inlineStr">
        <is>
          <t>TAE-AASPCNJ01-001</t>
        </is>
      </c>
    </row>
    <row r="11" ht="27.75" customHeight="1" s="59">
      <c r="A11" s="68" t="inlineStr">
        <is>
          <t>NCs de GQA abertas ao encerramento</t>
        </is>
      </c>
      <c r="B11" s="69" t="inlineStr">
        <is>
          <t>2 (baixa severidade — relativas ao encerramento)</t>
        </is>
      </c>
      <c r="C11" s="69" t="inlineStr">
        <is>
          <t>0</t>
        </is>
      </c>
      <c r="D11" s="71" t="inlineStr">
        <is>
          <t>✅ Atingida</t>
        </is>
      </c>
      <c r="E11" s="74" t="inlineStr">
        <is>
          <t>GQA-AASPCNJ01-001</t>
        </is>
      </c>
      <c r="F11" s="74" t="inlineStr">
        <is>
          <t>GQA-AASPCNJ01-001</t>
        </is>
      </c>
    </row>
    <row r="12" ht="27.75" customHeight="1" s="59">
      <c r="A12" s="72" t="inlineStr">
        <is>
          <t>Processos capturados em validação de produção</t>
        </is>
      </c>
      <c r="B12" s="67" t="inlineStr">
        <is>
          <t>13.700 em 45 min · projeção: 434.000/dia</t>
        </is>
      </c>
      <c r="C12" s="67" t="inlineStr">
        <is>
          <t>Funcional</t>
        </is>
      </c>
      <c r="D12" s="71" t="inlineStr">
        <is>
          <t>✅ Atingida</t>
        </is>
      </c>
      <c r="E12" s="75" t="inlineStr">
        <is>
          <t>Mensagem validação produção · 08/06/2026</t>
        </is>
      </c>
      <c r="F12" s="75" t="inlineStr">
        <is>
          <t>MED-AASPCNJ01-001 §4</t>
        </is>
      </c>
    </row>
    <row r="13" ht="27.75" customHeight="1" s="59">
      <c r="A13" s="68" t="inlineStr">
        <is>
          <t>Cobertura de tribunais</t>
        </is>
      </c>
      <c r="B13" s="69" t="inlineStr">
        <is>
          <t>Universal via DataJud/CNJ para consulta pública</t>
        </is>
      </c>
      <c r="C13" s="69" t="inlineStr">
        <is>
          <t>Cobertura CNJ</t>
        </is>
      </c>
      <c r="D13" s="71" t="inlineStr">
        <is>
          <t>✅ Atingida</t>
        </is>
      </c>
      <c r="E13" s="74" t="inlineStr">
        <is>
          <t>itp-postman-cnj.json</t>
        </is>
      </c>
      <c r="F13" s="74" t="inlineStr">
        <is>
          <t>MED-AASPCNJ01-001 §4</t>
        </is>
      </c>
    </row>
    <row r="14" ht="27.75" customHeight="1" s="59">
      <c r="A14" s="68" t="inlineStr">
        <is>
          <t>Cobertura de testes automatizados</t>
        </is>
      </c>
      <c r="B14" s="69" t="inlineStr">
        <is>
          <t>79%</t>
        </is>
      </c>
      <c r="C14" s="69" t="inlineStr">
        <is>
          <t>≥ 80%</t>
        </is>
      </c>
      <c r="D14" s="117" t="inlineStr">
        <is>
          <t>⚠️ Levemente abaixo</t>
        </is>
      </c>
      <c r="E14" s="74" t="inlineStr">
        <is>
          <t>EV-AzureDevOps-CNJ-001 (Run #128)</t>
        </is>
      </c>
      <c r="F14" s="74" t="inlineStr">
        <is>
          <t>MED-AASPCNJ01-001 §5</t>
        </is>
      </c>
    </row>
    <row r="16" ht="21.75" customHeight="1" s="59">
      <c r="A16" s="62" t="inlineStr">
        <is>
          <t>ESFORÇO REALIZADO POR FASE</t>
        </is>
      </c>
      <c r="B16" s="63" t="n"/>
      <c r="C16" s="63" t="n"/>
      <c r="D16" s="63" t="n"/>
      <c r="E16" s="63" t="n"/>
      <c r="F16" s="63" t="n"/>
    </row>
    <row r="17" ht="23.85" customHeight="1" s="59">
      <c r="A17" s="66" t="inlineStr">
        <is>
          <t>Fase</t>
        </is>
      </c>
      <c r="B17" s="66" t="inlineStr">
        <is>
          <t>Horas Estimadas</t>
        </is>
      </c>
      <c r="C17" s="66" t="inlineStr">
        <is>
          <t>Horas Realizadas</t>
        </is>
      </c>
      <c r="D17" s="66" t="inlineStr">
        <is>
          <t>Desvio</t>
        </is>
      </c>
      <c r="E17" s="66" t="inlineStr">
        <is>
          <t>Principal Responsável</t>
        </is>
      </c>
      <c r="F17" s="66" t="n"/>
    </row>
    <row r="18" ht="21.75" customHeight="1" s="59">
      <c r="A18" s="69" t="inlineStr">
        <is>
          <t>Fase 1 — Análise e Arquitetura</t>
        </is>
      </c>
      <c r="B18" s="70" t="inlineStr">
        <is>
          <t>60</t>
        </is>
      </c>
      <c r="C18" s="70" t="inlineStr">
        <is>
          <t>80</t>
        </is>
      </c>
      <c r="D18" s="70">
        <f>C18-B18</f>
        <v/>
      </c>
      <c r="E18" s="74" t="inlineStr">
        <is>
          <t>Cézar Hiraki Velázquez / Raony Chagas</t>
        </is>
      </c>
      <c r="F18" s="69" t="n"/>
    </row>
    <row r="19" ht="21.75" customHeight="1" s="59">
      <c r="A19" s="67" t="inlineStr">
        <is>
          <t>Fase 2 — Desenvolvimento EPROC/ESAJ</t>
        </is>
      </c>
      <c r="B19" s="73" t="inlineStr">
        <is>
          <t>120</t>
        </is>
      </c>
      <c r="C19" s="73" t="inlineStr">
        <is>
          <t>124</t>
        </is>
      </c>
      <c r="D19" s="73">
        <f>C19-B19</f>
        <v/>
      </c>
      <c r="E19" s="75" t="inlineStr">
        <is>
          <t>Raony Chagas</t>
        </is>
      </c>
      <c r="F19" s="67" t="n"/>
    </row>
    <row r="20" ht="21.75" customHeight="1" s="59">
      <c r="A20" s="69" t="inlineStr">
        <is>
          <t>Fase 3 — Estabilização EPROC/ESAJ</t>
        </is>
      </c>
      <c r="B20" s="70" t="inlineStr">
        <is>
          <t>80</t>
        </is>
      </c>
      <c r="C20" s="70" t="inlineStr">
        <is>
          <t>93</t>
        </is>
      </c>
      <c r="D20" s="70">
        <f>C20-B20</f>
        <v/>
      </c>
      <c r="E20" s="74" t="inlineStr">
        <is>
          <t>Raony Chagas</t>
        </is>
      </c>
      <c r="F20" s="69" t="n"/>
    </row>
    <row r="21" ht="21.75" customHeight="1" s="59">
      <c r="A21" s="67" t="inlineStr">
        <is>
          <t>Fase 4 — Desenvolvimento CNJ</t>
        </is>
      </c>
      <c r="B21" s="73" t="inlineStr">
        <is>
          <t>200</t>
        </is>
      </c>
      <c r="C21" s="73" t="inlineStr">
        <is>
          <t>195</t>
        </is>
      </c>
      <c r="D21" s="73">
        <f>C21-B21</f>
        <v/>
      </c>
      <c r="E21" s="75" t="inlineStr">
        <is>
          <t>Raony Chagas / Mateus Veloso</t>
        </is>
      </c>
      <c r="F21" s="67" t="n"/>
    </row>
    <row r="22" ht="21.75" customHeight="1" s="59">
      <c r="A22" s="69" t="inlineStr">
        <is>
          <t>Fase 5 — Testes e Validação</t>
        </is>
      </c>
      <c r="B22" s="70" t="inlineStr">
        <is>
          <t>80</t>
        </is>
      </c>
      <c r="C22" s="70" t="inlineStr">
        <is>
          <t>109</t>
        </is>
      </c>
      <c r="D22" s="70">
        <f>C22-B22</f>
        <v/>
      </c>
      <c r="E22" s="74" t="inlineStr">
        <is>
          <t>Raony Chagas / Lucas Batista</t>
        </is>
      </c>
      <c r="F22" s="69" t="n"/>
    </row>
    <row r="23" ht="21.75" customHeight="1" s="59">
      <c r="A23" s="67" t="inlineStr">
        <is>
          <t>Fase 6 — Implantação</t>
        </is>
      </c>
      <c r="B23" s="73" t="inlineStr">
        <is>
          <t>46</t>
        </is>
      </c>
      <c r="C23" s="73" t="n">
        <v>23</v>
      </c>
      <c r="D23" s="73">
        <f>C23-B23</f>
        <v/>
      </c>
      <c r="E23" s="75" t="inlineStr">
        <is>
          <t>Raony Chagas / Cézar Hiraki Velázquez</t>
        </is>
      </c>
      <c r="F23" s="67" t="n"/>
    </row>
    <row r="24" ht="21.75" customHeight="1" s="59">
      <c r="A24" s="105" t="inlineStr">
        <is>
          <t>TOTAL</t>
        </is>
      </c>
      <c r="B24" s="106">
        <f>SUM(B18:B23)</f>
        <v/>
      </c>
      <c r="C24" s="106">
        <f>SUM(C18:C23)</f>
        <v/>
      </c>
      <c r="D24" s="106">
        <f>SUM(D18:D23)</f>
        <v/>
      </c>
      <c r="E24" s="107" t="n"/>
      <c r="F24" s="108" t="n"/>
    </row>
  </sheetData>
  <mergeCells count="4">
    <mergeCell ref="A3:F3"/>
    <mergeCell ref="A2:F2"/>
    <mergeCell ref="A16:F16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A32D2D"/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8" min="1" max="1"/>
    <col width="42" customWidth="1" style="58" min="2" max="2"/>
    <col width="26" customWidth="1" style="58" min="3" max="3"/>
    <col width="14" customWidth="1" style="58" min="4" max="4"/>
    <col width="28" customWidth="1" style="58" min="5" max="5"/>
  </cols>
  <sheetData>
    <row r="1" ht="27.75" customHeight="1" s="59">
      <c r="A1" s="76" t="inlineStr">
        <is>
          <t>GARANTIA DA QUALIDADE — REGISTRO DE AUDITORIA</t>
        </is>
      </c>
    </row>
    <row r="2" ht="15" customHeight="1" s="59">
      <c r="A2" s="61" t="inlineStr">
        <is>
          <t>Referência: GQA-AASPCNJ01-001 · EST-GPC-001 · TPL-GPC-001 · Auditor: Jonathan Barbosa — independente da equipe de projeto</t>
        </is>
      </c>
    </row>
    <row r="3" ht="15.75" customHeight="1" s="59">
      <c r="A3" s="64" t="inlineStr">
        <is>
          <t>Auditor</t>
        </is>
      </c>
      <c r="B3" s="63" t="n"/>
      <c r="C3" s="65" t="inlineStr">
        <is>
          <t>Jonathan Barbosa</t>
        </is>
      </c>
      <c r="D3" s="63" t="n"/>
      <c r="E3" s="63" t="n"/>
    </row>
    <row r="4" ht="15.75" customHeight="1" s="59">
      <c r="A4" s="64" t="inlineStr">
        <is>
          <t>Independência</t>
        </is>
      </c>
      <c r="B4" s="63" t="n"/>
      <c r="C4" s="65" t="inlineStr">
        <is>
          <t>Sim — Jonathan Barbosa não participa da execução do projeto</t>
        </is>
      </c>
      <c r="D4" s="63" t="n"/>
      <c r="E4" s="63" t="n"/>
    </row>
    <row r="5" ht="15.75" customHeight="1" s="59">
      <c r="A5" s="64" t="inlineStr">
        <is>
          <t>Referência estratégia</t>
        </is>
      </c>
      <c r="B5" s="63" t="n"/>
      <c r="C5" s="65" t="inlineStr">
        <is>
          <t>EST-GPC-001 — Estratégia de Garantia da Qualidade</t>
        </is>
      </c>
      <c r="D5" s="63" t="n"/>
      <c r="E5" s="63" t="n"/>
    </row>
    <row r="6" ht="15.75" customHeight="1" s="59">
      <c r="A6" s="64" t="inlineStr">
        <is>
          <t>Data da auditoria</t>
        </is>
      </c>
      <c r="B6" s="63" t="n"/>
      <c r="C6" s="65" t="inlineStr">
        <is>
          <t>08/06/2026</t>
        </is>
      </c>
      <c r="D6" s="63" t="n"/>
      <c r="E6" s="63" t="n"/>
    </row>
    <row r="7" ht="21.75" customHeight="1" s="59">
      <c r="A7" s="62" t="inlineStr">
        <is>
          <t>VERIFICAÇÃO DE ADERÊNCIA AO PROCESSO</t>
        </is>
      </c>
      <c r="B7" s="63" t="n"/>
      <c r="C7" s="63" t="n"/>
      <c r="D7" s="63" t="n"/>
      <c r="E7" s="63" t="n"/>
    </row>
    <row r="8" ht="15" customHeight="1" s="59">
      <c r="A8" s="66" t="inlineStr">
        <is>
          <t>#</t>
        </is>
      </c>
      <c r="B8" s="66" t="inlineStr">
        <is>
          <t>Item Verificado</t>
        </is>
      </c>
      <c r="C8" s="66" t="inlineStr">
        <is>
          <t>Produto de Trabalho</t>
        </is>
      </c>
      <c r="D8" s="66" t="inlineStr">
        <is>
          <t>Resultado</t>
        </is>
      </c>
      <c r="E8" s="66" t="inlineStr">
        <is>
          <t>Observação</t>
        </is>
      </c>
    </row>
    <row r="9" ht="25.5" customHeight="1" s="59">
      <c r="A9" s="82" t="inlineStr">
        <is>
          <t>1</t>
        </is>
      </c>
      <c r="B9" s="69" t="inlineStr">
        <is>
          <t>Termo de Abertura produzido e aprovado</t>
        </is>
      </c>
      <c r="C9" s="74" t="inlineStr">
        <is>
          <t>TAP-AASPCNJ01-001</t>
        </is>
      </c>
      <c r="D9" s="71" t="inlineStr">
        <is>
          <t>✅ Conforme</t>
        </is>
      </c>
      <c r="E9" s="109" t="inlineStr">
        <is>
          <t>v1.0 — aprovado por Marcos Correa Fernandez Turnes em 01/10/2025</t>
        </is>
      </c>
    </row>
    <row r="10" ht="25.5" customHeight="1" s="59">
      <c r="A10" s="96" t="inlineStr">
        <is>
          <t>2</t>
        </is>
      </c>
      <c r="B10" s="67" t="inlineStr">
        <is>
          <t>Adaptação do processo documentada</t>
        </is>
      </c>
      <c r="C10" s="75" t="inlineStr">
        <is>
          <t>ADAP-AASPCNJ01-001</t>
        </is>
      </c>
      <c r="D10" s="71" t="inlineStr">
        <is>
          <t>✅ Conforme</t>
        </is>
      </c>
      <c r="E10" s="110" t="inlineStr">
        <is>
          <t>v1.0 — projeto de longa duração, simplificações justificadas</t>
        </is>
      </c>
    </row>
    <row r="11" ht="25.5" customHeight="1" s="59">
      <c r="A11" s="82" t="inlineStr">
        <is>
          <t>3</t>
        </is>
      </c>
      <c r="B11" s="69" t="inlineStr">
        <is>
          <t>Requisitos especificados e validados</t>
        </is>
      </c>
      <c r="C11" s="74" t="inlineStr">
        <is>
          <t>REQ-AASPCNJ01-001</t>
        </is>
      </c>
      <c r="D11" s="71" t="inlineStr">
        <is>
          <t>✅ Conforme</t>
        </is>
      </c>
      <c r="E11" s="109" t="inlineStr">
        <is>
          <t>v1.0 — 12 RF e 6 RNF documentados e verificados</t>
        </is>
      </c>
    </row>
    <row r="12" ht="25.5" customHeight="1" s="59">
      <c r="A12" s="96" t="inlineStr">
        <is>
          <t>4</t>
        </is>
      </c>
      <c r="B12" s="67" t="inlineStr">
        <is>
          <t>Matriz de rastreabilidade produzida</t>
        </is>
      </c>
      <c r="C12" s="75" t="inlineStr">
        <is>
          <t>RASTR-AASPCNJ01-001</t>
        </is>
      </c>
      <c r="D12" s="71" t="inlineStr">
        <is>
          <t>✅ Conforme</t>
        </is>
      </c>
      <c r="E12" s="110" t="inlineStr">
        <is>
          <t>v1.0 — todos os requisitos rastreados até critérios de aceite e evidências</t>
        </is>
      </c>
    </row>
    <row r="13" ht="25.5" customHeight="1" s="59">
      <c r="A13" s="82" t="inlineStr">
        <is>
          <t>5</t>
        </is>
      </c>
      <c r="B13" s="69" t="inlineStr">
        <is>
          <t>Plano de projeto aprovado (baseline)</t>
        </is>
      </c>
      <c r="C13" s="74" t="inlineStr">
        <is>
          <t>PLA-AASPCNJ01-001</t>
        </is>
      </c>
      <c r="D13" s="71" t="inlineStr">
        <is>
          <t>✅ Conforme</t>
        </is>
      </c>
      <c r="E13" s="109" t="inlineStr">
        <is>
          <t>v1.0 — fases, cronograma e recursos documentados</t>
        </is>
      </c>
    </row>
    <row r="14" ht="25.5" customHeight="1" s="59">
      <c r="A14" s="96" t="inlineStr">
        <is>
          <t>6</t>
        </is>
      </c>
      <c r="B14" s="67" t="inlineStr">
        <is>
          <t>Análise de decisão documentada</t>
        </is>
      </c>
      <c r="C14" s="75" t="inlineStr">
        <is>
          <t>GDE-AASPCNJ01-001</t>
        </is>
      </c>
      <c r="D14" s="71" t="inlineStr">
        <is>
          <t>✅ Conforme</t>
        </is>
      </c>
      <c r="E14" s="110" t="inlineStr">
        <is>
          <t>v1.0 — 7 decisões registradas com justificativa e impacto</t>
        </is>
      </c>
    </row>
    <row r="15" ht="25.5" customHeight="1" s="59">
      <c r="A15" s="82" t="inlineStr">
        <is>
          <t>7</t>
        </is>
      </c>
      <c r="B15" s="69" t="inlineStr">
        <is>
          <t>Plano de V&amp;V produzido com cenários</t>
        </is>
      </c>
      <c r="C15" s="74" t="inlineStr">
        <is>
          <t>VV-AASPCNJ01-001</t>
        </is>
      </c>
      <c r="D15" s="71" t="inlineStr">
        <is>
          <t>✅ Conforme</t>
        </is>
      </c>
      <c r="E15" s="109" t="inlineStr">
        <is>
          <t>v1.0 — 7 cenários Gherkin (5 happy, 2 sad), 100% aprovados</t>
        </is>
      </c>
    </row>
    <row r="16" ht="25.5" customHeight="1" s="59">
      <c r="A16" s="96" t="inlineStr">
        <is>
          <t>8</t>
        </is>
      </c>
      <c r="B16" s="67" t="inlineStr">
        <is>
          <t>Registro de medição produzido</t>
        </is>
      </c>
      <c r="C16" s="75" t="inlineStr">
        <is>
          <t>MED-AASPCNJ01-001</t>
        </is>
      </c>
      <c r="D16" s="71" t="inlineStr">
        <is>
          <t>✅ Conforme</t>
        </is>
      </c>
      <c r="E16" s="110" t="inlineStr">
        <is>
          <t>v1.0 — 9 indicadores com meta e resultado documentados</t>
        </is>
      </c>
    </row>
    <row r="17" ht="25.5" customHeight="1" s="59">
      <c r="A17" s="82" t="inlineStr">
        <is>
          <t>9</t>
        </is>
      </c>
      <c r="B17" s="69" t="inlineStr">
        <is>
          <t>Itens de configuração sob controle</t>
        </is>
      </c>
      <c r="C17" s="74" t="inlineStr">
        <is>
          <t>GCO — Azure DevOps</t>
        </is>
      </c>
      <c r="D17" s="71" t="inlineStr">
        <is>
          <t>✅ Conforme</t>
        </is>
      </c>
      <c r="E17" s="109" t="inlineStr">
        <is>
          <t>GitFlow aplicado; tag v240; PRs com revisão obrigatória</t>
        </is>
      </c>
    </row>
    <row r="18" ht="25.5" customHeight="1" s="59">
      <c r="A18" s="96" t="inlineStr">
        <is>
          <t>10</t>
        </is>
      </c>
      <c r="B18" s="67" t="inlineStr">
        <is>
          <t>Registro de riscos produzido</t>
        </is>
      </c>
      <c r="C18" s="75" t="inlineStr">
        <is>
          <t>RAC-AASPCNJ01-001</t>
        </is>
      </c>
      <c r="D18" s="71" t="inlineStr">
        <is>
          <t>✅ Conforme</t>
        </is>
      </c>
      <c r="E18" s="110" t="inlineStr">
        <is>
          <t>v1.0 — 6 riscos com P×I, resposta e status</t>
        </is>
      </c>
    </row>
    <row r="19" ht="25.5" customHeight="1" s="59">
      <c r="A19" s="82" t="inlineStr">
        <is>
          <t>11</t>
        </is>
      </c>
      <c r="B19" s="69" t="inlineStr">
        <is>
          <t>Atas de alinhamento registradas</t>
        </is>
      </c>
      <c r="C19" s="74" t="inlineStr">
        <is>
          <t>ATA-AASPCNJ01-001</t>
        </is>
      </c>
      <c r="D19" s="71" t="inlineStr">
        <is>
          <t>✅ Conforme</t>
        </is>
      </c>
      <c r="E19" s="109" t="inlineStr">
        <is>
          <t>1 ata produzida — reunião de 07/04/2026</t>
        </is>
      </c>
    </row>
    <row r="20" ht="25.5" customHeight="1" s="59">
      <c r="A20" s="96" t="inlineStr">
        <is>
          <t>12</t>
        </is>
      </c>
      <c r="B20" s="67" t="inlineStr">
        <is>
          <t>Termo de Encerramento emitido e assinado</t>
        </is>
      </c>
      <c r="C20" s="75" t="inlineStr">
        <is>
          <t>TAE-AASPCNJ01-001</t>
        </is>
      </c>
      <c r="D20" s="71" t="inlineStr">
        <is>
          <t>🟡 Pendente</t>
        </is>
      </c>
      <c r="E20" s="110" t="inlineStr">
        <is>
          <t>A emitir no encerramento (previsto 30/06/2026) — projeto em execução</t>
        </is>
      </c>
    </row>
    <row r="22" ht="21.75" customHeight="1" s="59">
      <c r="A22" s="62" t="inlineStr">
        <is>
          <t>RESULTADO DA AUDITORIA</t>
        </is>
      </c>
      <c r="B22" s="63" t="n"/>
      <c r="C22" s="63" t="n"/>
      <c r="D22" s="63" t="n"/>
      <c r="E22" s="63" t="n"/>
    </row>
    <row r="23" ht="15" customHeight="1" s="59">
      <c r="A23" s="102" t="n"/>
      <c r="B23" s="102" t="inlineStr">
        <is>
          <t>Itens Verificados</t>
        </is>
      </c>
      <c r="C23" s="102" t="inlineStr">
        <is>
          <t>Conformes</t>
        </is>
      </c>
      <c r="D23" s="102" t="inlineStr">
        <is>
          <t>Desvios</t>
        </is>
      </c>
      <c r="E23" s="102" t="inlineStr">
        <is>
          <t>Resultado</t>
        </is>
      </c>
    </row>
    <row r="24" ht="24" customHeight="1" s="59">
      <c r="A24" s="111" t="inlineStr">
        <is>
          <t>AASP_CNJ</t>
        </is>
      </c>
      <c r="B24" s="80" t="inlineStr">
        <is>
          <t>12 itens verificados</t>
        </is>
      </c>
      <c r="C24" s="112" t="inlineStr">
        <is>
          <t>11 conformes</t>
        </is>
      </c>
      <c r="D24" s="112" t="inlineStr">
        <is>
          <t>1 pendente (encerramento)</t>
        </is>
      </c>
      <c r="E24" s="71" t="inlineStr">
        <is>
          <t>⚠ Conforme com ressalvas</t>
        </is>
      </c>
    </row>
  </sheetData>
  <mergeCells count="12">
    <mergeCell ref="A4:B4"/>
    <mergeCell ref="C5:E5"/>
    <mergeCell ref="A2:E2"/>
    <mergeCell ref="A7:E7"/>
    <mergeCell ref="A5:B5"/>
    <mergeCell ref="C4:E4"/>
    <mergeCell ref="A1:E1"/>
    <mergeCell ref="C3:E3"/>
    <mergeCell ref="A22:E22"/>
    <mergeCell ref="A3:B3"/>
    <mergeCell ref="A6:B6"/>
    <mergeCell ref="C6:E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F6E56"/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8" min="1" max="1"/>
    <col width="26" customWidth="1" style="58" min="2" max="2"/>
    <col width="7" customWidth="1" style="58" min="3" max="3"/>
    <col width="8" customWidth="1" style="58" min="4" max="4"/>
    <col width="30" customWidth="1" style="58" min="5" max="5"/>
    <col width="22" customWidth="1" style="58" min="6" max="6"/>
    <col width="28" customWidth="1" style="58" min="7" max="7"/>
    <col width="26" customWidth="1" style="58" min="8" max="8"/>
    <col width="12" customWidth="1" style="58" min="9" max="9"/>
  </cols>
  <sheetData>
    <row r="1" ht="27.75" customHeight="1" s="59">
      <c r="A1" s="76" t="inlineStr">
        <is>
          <t>V&amp;V — CENÁRIOS DE TESTE (GHERKIN) · AASP_CNJ</t>
        </is>
      </c>
    </row>
    <row r="2" ht="15" customHeight="1" s="59">
      <c r="A2" s="61" t="inlineStr">
        <is>
          <t>Fonte: VV-AASPCNJ01-001 · Processo: PRO-VV-001 · Referência: COLETAEVIDENCIAS_AASPCNJ_TechLead.docx</t>
        </is>
      </c>
    </row>
    <row r="3" ht="18" customHeight="1" s="59">
      <c r="A3" s="66" t="inlineStr">
        <is>
          <t>#</t>
        </is>
      </c>
      <c r="B3" s="66" t="inlineStr">
        <is>
          <t>Funcionalidade</t>
        </is>
      </c>
      <c r="C3" s="66" t="inlineStr">
        <is>
          <t>CT</t>
        </is>
      </c>
      <c r="D3" s="66" t="inlineStr">
        <is>
          <t>Tipo</t>
        </is>
      </c>
      <c r="E3" s="66" t="inlineStr">
        <is>
          <t>Dado (Given)</t>
        </is>
      </c>
      <c r="F3" s="66" t="inlineStr">
        <is>
          <t>Quando (When)</t>
        </is>
      </c>
      <c r="G3" s="66" t="inlineStr">
        <is>
          <t>Então / E (Then/And)</t>
        </is>
      </c>
      <c r="H3" s="66" t="inlineStr">
        <is>
          <t>Evidência</t>
        </is>
      </c>
      <c r="I3" s="66" t="inlineStr">
        <is>
          <t>Situação</t>
        </is>
      </c>
    </row>
    <row r="4" ht="51.75" customHeight="1" s="59">
      <c r="A4" s="111" t="inlineStr">
        <is>
          <t>CA01</t>
        </is>
      </c>
      <c r="B4" s="103" t="inlineStr">
        <is>
          <t>Captura via CNJ — caminho feliz</t>
        </is>
      </c>
      <c r="C4" s="80" t="inlineStr">
        <is>
          <t>CT-01</t>
        </is>
      </c>
      <c r="D4" s="71" t="inlineStr">
        <is>
          <t>Happy</t>
        </is>
      </c>
      <c r="E4" s="79" t="inlineStr">
        <is>
          <t>Dado que o NUP está com CodigoFonteAPI nulo e a API DataJud/CNJ está disponível</t>
        </is>
      </c>
      <c r="F4" s="79" t="inlineStr">
        <is>
          <t>Quando o WorkerAndamentos processa o NUP</t>
        </is>
      </c>
      <c r="G4" s="79" t="inlineStr">
        <is>
          <t>Então ProcessoCaptura apresenta CodigoProcessoCapturaStatus = 3 E ProcessoCapturaLogin apresenta CodigoProcessoCapturaResposta = 1 para cada instância</t>
        </is>
      </c>
      <c r="H4" s="81" t="inlineStr">
        <is>
          <t>vv-ca01-processocaptura.png · vv-ca02-login.png</t>
        </is>
      </c>
      <c r="I4" s="71" t="inlineStr">
        <is>
          <t>✅ Aprovado</t>
        </is>
      </c>
    </row>
    <row r="5" ht="51.75" customHeight="1" s="59">
      <c r="A5" s="113" t="inlineStr">
        <is>
          <t>CA02</t>
        </is>
      </c>
      <c r="B5" s="100" t="inlineStr">
        <is>
          <t>Movimentações registradas por instância</t>
        </is>
      </c>
      <c r="C5" s="73" t="inlineStr">
        <is>
          <t>CT-02</t>
        </is>
      </c>
      <c r="D5" s="71" t="inlineStr">
        <is>
          <t>Happy</t>
        </is>
      </c>
      <c r="E5" s="67" t="inlineStr">
        <is>
          <t>Dado que o processo foi capturado com sucesso via CNJ com novas movimentações</t>
        </is>
      </c>
      <c r="F5" s="67" t="inlineStr">
        <is>
          <t>Quando o webhook ProcessarCapturaExterna é executado</t>
        </is>
      </c>
      <c r="G5" s="67" t="inlineStr">
        <is>
          <t>Então ProcessoCapturaMovimentacaoStatus apresenta registro com Ativo = 1 e DataUltimaAtualizacao preenchida E registro anterior inativado (Ativo = 0)</t>
        </is>
      </c>
      <c r="H5" s="75" t="inlineStr">
        <is>
          <t>vv-ca03-movimentacaostatus.png</t>
        </is>
      </c>
      <c r="I5" s="71" t="inlineStr">
        <is>
          <t>✅ Aprovado</t>
        </is>
      </c>
    </row>
    <row r="6" ht="51.75" customHeight="1" s="59">
      <c r="A6" s="111" t="inlineStr">
        <is>
          <t>CA03</t>
        </is>
      </c>
      <c r="B6" s="103" t="inlineStr">
        <is>
          <t>Indexação no Elasticsearch</t>
        </is>
      </c>
      <c r="C6" s="80" t="inlineStr">
        <is>
          <t>CT-03</t>
        </is>
      </c>
      <c r="D6" s="71" t="inlineStr">
        <is>
          <t>Happy</t>
        </is>
      </c>
      <c r="E6" s="79" t="inlineStr">
        <is>
          <t>Dado que o processo foi capturado e serializado para IModelElastic</t>
        </is>
      </c>
      <c r="F6" s="79" t="inlineStr">
        <is>
          <t>Quando o webhook finaliza o processamento</t>
        </is>
      </c>
      <c r="G6" s="79" t="inlineStr">
        <is>
          <t>Então documento do processo está indexado no Elasticsearch com capa, partes, advogados e andamentos por instância</t>
        </is>
      </c>
      <c r="H6" s="81" t="inlineStr">
        <is>
          <t>vv-ca04-kibana-indexado.png</t>
        </is>
      </c>
      <c r="I6" s="71" t="inlineStr">
        <is>
          <t>✅ Aprovado</t>
        </is>
      </c>
    </row>
    <row r="7" ht="51.75" customHeight="1" s="59">
      <c r="A7" s="113" t="inlineStr">
        <is>
          <t>CA04</t>
        </is>
      </c>
      <c r="B7" s="100" t="inlineStr">
        <is>
          <t>Desligamento nas APIs parceiras após CNJ</t>
        </is>
      </c>
      <c r="C7" s="73" t="inlineStr">
        <is>
          <t>CT-04</t>
        </is>
      </c>
      <c r="D7" s="71" t="inlineStr">
        <is>
          <t>Happy</t>
        </is>
      </c>
      <c r="E7" s="67" t="inlineStr">
        <is>
          <t>Dado que o processo estava cadastrado na Solucionário e foi capturado com sucesso via CNJ</t>
        </is>
      </c>
      <c r="F7" s="67" t="inlineStr">
        <is>
          <t>Quando o webhook executa VerificaProcessoAPisParceiras</t>
        </is>
      </c>
      <c r="G7" s="67" t="inlineStr">
        <is>
          <t>Então o processo é removido da Solucionário E log de desligamento é registrado na tabela de controle da parceira</t>
        </is>
      </c>
      <c r="H7" s="75" t="inlineStr">
        <is>
          <t>vv-ca06-desligamento-parceira.png</t>
        </is>
      </c>
      <c r="I7" s="71" t="inlineStr">
        <is>
          <t>✅ Aprovado</t>
        </is>
      </c>
    </row>
    <row r="8" ht="51.75" customHeight="1" s="59">
      <c r="A8" s="111" t="inlineStr">
        <is>
          <t>CA05</t>
        </is>
      </c>
      <c r="B8" s="103" t="inlineStr">
        <is>
          <t>Erro parcial por instância</t>
        </is>
      </c>
      <c r="C8" s="80" t="inlineStr">
        <is>
          <t>CT-05</t>
        </is>
      </c>
      <c r="D8" s="104" t="inlineStr">
        <is>
          <t>Sad</t>
        </is>
      </c>
      <c r="E8" s="79" t="inlineStr">
        <is>
          <t>Dado que o processo possui 2 instâncias e a captura da segunda falha com erro técnico</t>
        </is>
      </c>
      <c r="F8" s="79" t="inlineStr">
        <is>
          <t>Quando o webhook finaliza o processamento</t>
        </is>
      </c>
      <c r="G8" s="79" t="inlineStr">
        <is>
          <t>Então ProcessoCaptura mantém status 3 (Capturado) E ProcessoCapturaLogin da instância com falha apresenta CodigoProcessoCapturaResposta = 8 com campo Observacao preenchido</t>
        </is>
      </c>
      <c r="H8" s="81" t="inlineStr">
        <is>
          <t>vv-ca05-erro-parcial.png</t>
        </is>
      </c>
      <c r="I8" s="71" t="inlineStr">
        <is>
          <t>✅ Aprovado</t>
        </is>
      </c>
    </row>
    <row r="9" ht="51.75" customHeight="1" s="59">
      <c r="A9" s="113" t="inlineStr">
        <is>
          <t>CA06</t>
        </is>
      </c>
      <c r="B9" s="100" t="inlineStr">
        <is>
          <t>Segredo de justiça por instância</t>
        </is>
      </c>
      <c r="C9" s="73" t="inlineStr">
        <is>
          <t>CT-06</t>
        </is>
      </c>
      <c r="D9" s="104" t="inlineStr">
        <is>
          <t>Sad</t>
        </is>
      </c>
      <c r="E9" s="67" t="inlineStr">
        <is>
          <t>Dado que a primeira instância de um processo é segredo de justiça e a segunda não é</t>
        </is>
      </c>
      <c r="F9" s="67" t="inlineStr">
        <is>
          <t>Quando o WorkerAndamentos processa o NUP</t>
        </is>
      </c>
      <c r="G9" s="67" t="inlineStr">
        <is>
          <t>Então ProcessoCapturaLogin da primeira instância tem campo Segredo setado E a segunda instância é capturada normalmente sem restrição</t>
        </is>
      </c>
      <c r="H9" s="75" t="inlineStr">
        <is>
          <t>vv-ca07-segredo-instancia.png</t>
        </is>
      </c>
      <c r="I9" s="71" t="inlineStr">
        <is>
          <t>✅ Aprovado</t>
        </is>
      </c>
    </row>
    <row r="10" ht="51.75" customHeight="1" s="59">
      <c r="A10" s="111" t="inlineStr">
        <is>
          <t>CA07</t>
        </is>
      </c>
      <c r="B10" s="103" t="inlineStr">
        <is>
          <t>Renovação automática do token CNJ</t>
        </is>
      </c>
      <c r="C10" s="80" t="inlineStr">
        <is>
          <t>CT-07</t>
        </is>
      </c>
      <c r="D10" s="71" t="inlineStr">
        <is>
          <t>Happy</t>
        </is>
      </c>
      <c r="E10" s="79" t="inlineStr">
        <is>
          <t>Dado que o token Bearer armazenado na tabela PonteAPI está expirado (HTTP 401)</t>
        </is>
      </c>
      <c r="F10" s="79" t="inlineStr">
        <is>
          <t>Quando o worker tenta consultar a API DataJud/CNJ</t>
        </is>
      </c>
      <c r="G10" s="79" t="inlineStr">
        <is>
          <t>Então o token é renovado automaticamente E a consulta é reexecutada com sucesso E a tabela PonteAPI é atualizada com o novo token</t>
        </is>
      </c>
      <c r="H10" s="81" t="inlineStr">
        <is>
          <t>itp-token-ponteapi.png</t>
        </is>
      </c>
      <c r="I10" s="71" t="inlineStr">
        <is>
          <t>✅ Aprovado</t>
        </is>
      </c>
    </row>
    <row r="12" ht="21.75" customHeight="1" s="59">
      <c r="A12" s="62" t="inlineStr">
        <is>
          <t>RESUMO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</row>
    <row r="13" ht="15" customHeight="1" s="59">
      <c r="A13" s="102" t="n"/>
      <c r="B13" s="102" t="inlineStr">
        <is>
          <t>Total CT</t>
        </is>
      </c>
      <c r="C13" s="102" t="inlineStr">
        <is>
          <t>Happy</t>
        </is>
      </c>
      <c r="D13" s="102" t="inlineStr">
        <is>
          <t>Sad</t>
        </is>
      </c>
      <c r="E13" s="102" t="inlineStr">
        <is>
          <t>Aprovados</t>
        </is>
      </c>
      <c r="F13" s="102" t="inlineStr">
        <is>
          <t>% Aprovação</t>
        </is>
      </c>
      <c r="G13" s="102" t="n"/>
      <c r="H13" s="102" t="n"/>
      <c r="I13" s="102" t="n"/>
    </row>
    <row r="14" ht="21.75" customHeight="1" s="59">
      <c r="A14" s="114" t="inlineStr">
        <is>
          <t>AASP_CNJ</t>
        </is>
      </c>
      <c r="B14" s="115" t="inlineStr">
        <is>
          <t>7</t>
        </is>
      </c>
      <c r="C14" s="112" t="inlineStr">
        <is>
          <t>5</t>
        </is>
      </c>
      <c r="D14" s="116" t="inlineStr">
        <is>
          <t>2</t>
        </is>
      </c>
      <c r="E14" s="112" t="inlineStr">
        <is>
          <t>7</t>
        </is>
      </c>
      <c r="F14" s="71" t="inlineStr">
        <is>
          <t>100%</t>
        </is>
      </c>
      <c r="G14" s="79" t="n"/>
      <c r="H14" s="79" t="n"/>
      <c r="I14" s="79" t="n"/>
    </row>
  </sheetData>
  <mergeCells count="3">
    <mergeCell ref="A1:I1"/>
    <mergeCell ref="A12:I12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BACKLOG DO PROJETO — ÉPICOS E HISTÓRIAS (base Jira)</t>
        </is>
      </c>
    </row>
    <row r="2">
      <c r="A2" s="58" t="inlineStr">
        <is>
          <t>Derivado de REQ-AASPCNJ01-001 · Tipo: Epic / Story · Pronto para carga no Jira</t>
        </is>
      </c>
    </row>
    <row r="4">
      <c r="A4" s="58" t="inlineStr">
        <is>
          <t>ÉPICOS</t>
        </is>
      </c>
    </row>
    <row r="5">
      <c r="A5" s="58" t="inlineStr">
        <is>
          <t>ID</t>
        </is>
      </c>
      <c r="B5" s="58" t="inlineStr">
        <is>
          <t>Resumo</t>
        </is>
      </c>
      <c r="C5" s="58" t="inlineStr">
        <is>
          <t>RF/RNF</t>
        </is>
      </c>
      <c r="D5" s="58" t="inlineStr">
        <is>
          <t>SP</t>
        </is>
      </c>
      <c r="E5" s="58" t="inlineStr">
        <is>
          <t>Sprint</t>
        </is>
      </c>
      <c r="F5" s="58" t="inlineStr">
        <is>
          <t>Tipo</t>
        </is>
      </c>
      <c r="G5" s="58" t="inlineStr">
        <is>
          <t>Status</t>
        </is>
      </c>
    </row>
    <row r="6">
      <c r="A6" s="58" t="inlineStr">
        <is>
          <t>EP-01</t>
        </is>
      </c>
      <c r="B6" s="58" t="inlineStr">
        <is>
          <t>Captura EPROC/ESAJ (TJSP)</t>
        </is>
      </c>
      <c r="C6" s="58" t="inlineStr">
        <is>
          <t>RF-02</t>
        </is>
      </c>
      <c r="D6" s="58" t="inlineStr">
        <is>
          <t>42</t>
        </is>
      </c>
      <c r="E6" s="58" t="inlineStr">
        <is>
          <t>Disc.–S5</t>
        </is>
      </c>
      <c r="F6" s="58" t="inlineStr">
        <is>
          <t>Epic</t>
        </is>
      </c>
      <c r="G6" s="58" t="inlineStr">
        <is>
          <t>✅</t>
        </is>
      </c>
    </row>
    <row r="7">
      <c r="A7" s="58" t="inlineStr">
        <is>
          <t>EP-02</t>
        </is>
      </c>
      <c r="B7" s="58" t="inlineStr">
        <is>
          <t>Integração DataJud/CNJ (fonte primária)</t>
        </is>
      </c>
      <c r="C7" s="58" t="inlineStr">
        <is>
          <t>RF-01,05,06,11</t>
        </is>
      </c>
      <c r="D7" s="58" t="inlineStr">
        <is>
          <t>32</t>
        </is>
      </c>
      <c r="E7" s="58" t="inlineStr">
        <is>
          <t>S2,S6,S7,S8</t>
        </is>
      </c>
      <c r="F7" s="58" t="inlineStr">
        <is>
          <t>Epic</t>
        </is>
      </c>
      <c r="G7" s="58" t="inlineStr">
        <is>
          <t>✅</t>
        </is>
      </c>
    </row>
    <row r="8">
      <c r="A8" s="58" t="inlineStr">
        <is>
          <t>EP-03</t>
        </is>
      </c>
      <c r="B8" s="58" t="inlineStr">
        <is>
          <t>Fila unificada (RabbitMQ)</t>
        </is>
      </c>
      <c r="C8" s="58" t="inlineStr">
        <is>
          <t>RF-03,12</t>
        </is>
      </c>
      <c r="D8" s="58" t="inlineStr">
        <is>
          <t>10</t>
        </is>
      </c>
      <c r="E8" s="58" t="inlineStr">
        <is>
          <t>S2,S6</t>
        </is>
      </c>
      <c r="F8" s="58" t="inlineStr">
        <is>
          <t>Epic</t>
        </is>
      </c>
      <c r="G8" s="58" t="inlineStr">
        <is>
          <t>✅</t>
        </is>
      </c>
    </row>
    <row r="9">
      <c r="A9" s="58" t="inlineStr">
        <is>
          <t>EP-04</t>
        </is>
      </c>
      <c r="B9" s="58" t="inlineStr">
        <is>
          <t>Fallback e APIs parceiras</t>
        </is>
      </c>
      <c r="C9" s="58" t="inlineStr">
        <is>
          <t>RF-04,07,08</t>
        </is>
      </c>
      <c r="D9" s="58" t="inlineStr">
        <is>
          <t>24</t>
        </is>
      </c>
      <c r="E9" s="58" t="inlineStr">
        <is>
          <t>S7,S8</t>
        </is>
      </c>
      <c r="F9" s="58" t="inlineStr">
        <is>
          <t>Epic</t>
        </is>
      </c>
      <c r="G9" s="58" t="inlineStr">
        <is>
          <t>✅</t>
        </is>
      </c>
    </row>
    <row r="10">
      <c r="A10" s="58" t="inlineStr">
        <is>
          <t>EP-05</t>
        </is>
      </c>
      <c r="B10" s="58" t="inlineStr">
        <is>
          <t>Segredo de justiça por instância</t>
        </is>
      </c>
      <c r="C10" s="58" t="inlineStr">
        <is>
          <t>RF-10</t>
        </is>
      </c>
      <c r="D10" s="58" t="inlineStr">
        <is>
          <t>13</t>
        </is>
      </c>
      <c r="E10" s="58" t="inlineStr">
        <is>
          <t>S9</t>
        </is>
      </c>
      <c r="F10" s="58" t="inlineStr">
        <is>
          <t>Epic</t>
        </is>
      </c>
      <c r="G10" s="58" t="inlineStr">
        <is>
          <t>✅</t>
        </is>
      </c>
    </row>
    <row r="11">
      <c r="A11" s="58" t="inlineStr">
        <is>
          <t>EP-06</t>
        </is>
      </c>
      <c r="B11" s="58" t="inlineStr">
        <is>
          <t>Observabilidade e estabilidade</t>
        </is>
      </c>
      <c r="C11" s="58" t="inlineStr">
        <is>
          <t>RF-09,RNF-02,03</t>
        </is>
      </c>
      <c r="D11" s="58" t="inlineStr">
        <is>
          <t>13</t>
        </is>
      </c>
      <c r="E11" s="58" t="inlineStr">
        <is>
          <t>S7,S8</t>
        </is>
      </c>
      <c r="F11" s="58" t="inlineStr">
        <is>
          <t>Epic</t>
        </is>
      </c>
      <c r="G11" s="58" t="inlineStr">
        <is>
          <t>✅</t>
        </is>
      </c>
    </row>
    <row r="12">
      <c r="A12" s="58" t="inlineStr">
        <is>
          <t>EP-07</t>
        </is>
      </c>
      <c r="B12" s="58" t="inlineStr">
        <is>
          <t>Qualidade, testes e implantação</t>
        </is>
      </c>
      <c r="C12" s="58" t="inlineStr">
        <is>
          <t>RNF / VV</t>
        </is>
      </c>
      <c r="D12" s="58" t="inlineStr">
        <is>
          <t>21</t>
        </is>
      </c>
      <c r="E12" s="58" t="inlineStr">
        <is>
          <t>S10,S11</t>
        </is>
      </c>
      <c r="F12" s="58" t="inlineStr">
        <is>
          <t>Epic</t>
        </is>
      </c>
      <c r="G12" s="58" t="inlineStr">
        <is>
          <t>🟡</t>
        </is>
      </c>
    </row>
    <row r="14">
      <c r="A14" s="58" t="inlineStr">
        <is>
          <t>HISTÓRIAS DE USUÁRIO (User Stories)</t>
        </is>
      </c>
    </row>
    <row r="15">
      <c r="A15" s="58" t="inlineStr">
        <is>
          <t>ID</t>
        </is>
      </c>
      <c r="B15" s="58" t="inlineStr">
        <is>
          <t>História</t>
        </is>
      </c>
      <c r="C15" s="58" t="inlineStr">
        <is>
          <t>RF/RNF</t>
        </is>
      </c>
      <c r="D15" s="58" t="inlineStr">
        <is>
          <t>SP</t>
        </is>
      </c>
      <c r="E15" s="58" t="inlineStr">
        <is>
          <t>Sprint</t>
        </is>
      </c>
      <c r="F15" s="58" t="inlineStr">
        <is>
          <t>Épico</t>
        </is>
      </c>
      <c r="G15" s="58" t="inlineStr">
        <is>
          <t>Status</t>
        </is>
      </c>
    </row>
    <row r="16">
      <c r="A16" s="58" t="inlineStr">
        <is>
          <t>US-01</t>
        </is>
      </c>
      <c r="B16" s="58" t="inlineStr">
        <is>
          <t>Como operação, quero capturar processos do TJSP via engine EPROC/ESAJ para não depender de APIs privadas no maior tribunal</t>
        </is>
      </c>
      <c r="C16" s="58" t="inlineStr">
        <is>
          <t>RF-02</t>
        </is>
      </c>
      <c r="D16" s="58" t="inlineStr">
        <is>
          <t>13</t>
        </is>
      </c>
      <c r="E16" s="58" t="inlineStr">
        <is>
          <t>S1</t>
        </is>
      </c>
      <c r="F16" s="58" t="inlineStr">
        <is>
          <t>EP-01</t>
        </is>
      </c>
      <c r="G16" s="58" t="inlineStr">
        <is>
          <t>✅</t>
        </is>
      </c>
    </row>
    <row r="17">
      <c r="A17" s="58" t="inlineStr">
        <is>
          <t>US-02</t>
        </is>
      </c>
      <c r="B17" s="58" t="inlineStr">
        <is>
          <t>Como operação, quero contornar o captcha Cloudflare nos portais do TJSP para viabilizar a captura automatizada</t>
        </is>
      </c>
      <c r="C17" s="58" t="inlineStr">
        <is>
          <t>RNF-01</t>
        </is>
      </c>
      <c r="D17" s="58" t="inlineStr">
        <is>
          <t>8</t>
        </is>
      </c>
      <c r="E17" s="58" t="inlineStr">
        <is>
          <t>Discovery</t>
        </is>
      </c>
      <c r="F17" s="58" t="inlineStr">
        <is>
          <t>EP-01</t>
        </is>
      </c>
      <c r="G17" s="58" t="inlineStr">
        <is>
          <t>✅</t>
        </is>
      </c>
    </row>
    <row r="18">
      <c r="A18" s="58" t="inlineStr">
        <is>
          <t>US-03</t>
        </is>
      </c>
      <c r="B18" s="58" t="inlineStr">
        <is>
          <t>Como operação, quero capturar a 1ª instância (EPROC) e os incidentes (ESAJ) do TJSP</t>
        </is>
      </c>
      <c r="C18" s="58" t="inlineStr">
        <is>
          <t>RF-02</t>
        </is>
      </c>
      <c r="D18" s="58" t="inlineStr">
        <is>
          <t>8</t>
        </is>
      </c>
      <c r="E18" s="58" t="inlineStr">
        <is>
          <t>S3</t>
        </is>
      </c>
      <c r="F18" s="58" t="inlineStr">
        <is>
          <t>EP-01</t>
        </is>
      </c>
      <c r="G18" s="58" t="inlineStr">
        <is>
          <t>✅</t>
        </is>
      </c>
    </row>
    <row r="19">
      <c r="A19" s="58" t="inlineStr">
        <is>
          <t>US-19</t>
        </is>
      </c>
      <c r="B19" s="58" t="inlineStr">
        <is>
          <t>Como operação, quero estabilizar o crawler EPROC (timeout pós-captcha, nullabilidade) para captura confiável</t>
        </is>
      </c>
      <c r="C19" s="58" t="inlineStr">
        <is>
          <t>RNF-02</t>
        </is>
      </c>
      <c r="D19" s="58" t="inlineStr">
        <is>
          <t>8</t>
        </is>
      </c>
      <c r="E19" s="58" t="inlineStr">
        <is>
          <t>S4</t>
        </is>
      </c>
      <c r="F19" s="58" t="inlineStr">
        <is>
          <t>EP-01</t>
        </is>
      </c>
      <c r="G19" s="58" t="inlineStr">
        <is>
          <t>✅</t>
        </is>
      </c>
    </row>
    <row r="20">
      <c r="A20" s="58" t="inlineStr">
        <is>
          <t>US-20</t>
        </is>
      </c>
      <c r="B20" s="58" t="inlineStr">
        <is>
          <t>Como operação, quero melhorar o desempenho do crawler e preparar o pacote de GMUD do EPROC</t>
        </is>
      </c>
      <c r="C20" s="58" t="inlineStr">
        <is>
          <t>RNF-01</t>
        </is>
      </c>
      <c r="D20" s="58" t="inlineStr">
        <is>
          <t>5</t>
        </is>
      </c>
      <c r="E20" s="58" t="inlineStr">
        <is>
          <t>S5</t>
        </is>
      </c>
      <c r="F20" s="58" t="inlineStr">
        <is>
          <t>EP-01</t>
        </is>
      </c>
      <c r="G20" s="58" t="inlineStr">
        <is>
          <t>✅</t>
        </is>
      </c>
    </row>
    <row r="21">
      <c r="A21" s="58" t="inlineStr">
        <is>
          <t>US-04</t>
        </is>
      </c>
      <c r="B21" s="58" t="inlineStr">
        <is>
          <t>Como operação, quero consultar a API DataJud/CNJ como fonte primária para NUPs com CodigoFonteAPI nulo</t>
        </is>
      </c>
      <c r="C21" s="58" t="inlineStr">
        <is>
          <t>RF-01</t>
        </is>
      </c>
      <c r="D21" s="58" t="inlineStr">
        <is>
          <t>13</t>
        </is>
      </c>
      <c r="E21" s="58" t="inlineStr">
        <is>
          <t>S6</t>
        </is>
      </c>
      <c r="F21" s="58" t="inlineStr">
        <is>
          <t>EP-02</t>
        </is>
      </c>
      <c r="G21" s="58" t="inlineStr">
        <is>
          <t>✅</t>
        </is>
      </c>
    </row>
    <row r="22">
      <c r="A22" s="58" t="inlineStr">
        <is>
          <t>US-06</t>
        </is>
      </c>
      <c r="B22" s="58" t="inlineStr">
        <is>
          <t>Como sistema, quero registrar o CodigoFonteAPI por processo para rastrear a fonte de cada captura</t>
        </is>
      </c>
      <c r="C22" s="58" t="inlineStr">
        <is>
          <t>RF-06</t>
        </is>
      </c>
      <c r="D22" s="58" t="inlineStr">
        <is>
          <t>3</t>
        </is>
      </c>
      <c r="E22" s="58" t="inlineStr">
        <is>
          <t>S7</t>
        </is>
      </c>
      <c r="F22" s="58" t="inlineStr">
        <is>
          <t>EP-02</t>
        </is>
      </c>
      <c r="G22" s="58" t="inlineStr">
        <is>
          <t>✅</t>
        </is>
      </c>
    </row>
    <row r="23">
      <c r="A23" s="58" t="inlineStr">
        <is>
          <t>US-07</t>
        </is>
      </c>
      <c r="B23" s="58" t="inlineStr">
        <is>
          <t>Como sistema, quero enviar os dados capturados ao webhook da API AndamentosProcessuais para indexação no Elasticsearch</t>
        </is>
      </c>
      <c r="C23" s="58" t="inlineStr">
        <is>
          <t>RF-11</t>
        </is>
      </c>
      <c r="D23" s="58" t="inlineStr">
        <is>
          <t>8</t>
        </is>
      </c>
      <c r="E23" s="58" t="inlineStr">
        <is>
          <t>S7</t>
        </is>
      </c>
      <c r="F23" s="58" t="inlineStr">
        <is>
          <t>EP-02</t>
        </is>
      </c>
      <c r="G23" s="58" t="inlineStr">
        <is>
          <t>✅</t>
        </is>
      </c>
    </row>
    <row r="24">
      <c r="A24" s="58" t="inlineStr">
        <is>
          <t>US-05</t>
        </is>
      </c>
      <c r="B24" s="58" t="inlineStr">
        <is>
          <t>Como sistema, quero gerenciar o token Bearer da CNJ de forma compartilhada com renovação automática</t>
        </is>
      </c>
      <c r="C24" s="58" t="inlineStr">
        <is>
          <t>RF-05</t>
        </is>
      </c>
      <c r="D24" s="58" t="inlineStr">
        <is>
          <t>8</t>
        </is>
      </c>
      <c r="E24" s="58" t="inlineStr">
        <is>
          <t>S8</t>
        </is>
      </c>
      <c r="F24" s="58" t="inlineStr">
        <is>
          <t>EP-02</t>
        </is>
      </c>
      <c r="G24" s="58" t="inlineStr">
        <is>
          <t>✅</t>
        </is>
      </c>
    </row>
    <row r="25">
      <c r="A25" s="58" t="inlineStr">
        <is>
          <t>US-08</t>
        </is>
      </c>
      <c r="B25" s="58" t="inlineStr">
        <is>
          <t>Como sistema, quero que o CapturaServer enfileire todos os NUPs no RabbitMQ de forma unificada</t>
        </is>
      </c>
      <c r="C25" s="58" t="inlineStr">
        <is>
          <t>RF-12</t>
        </is>
      </c>
      <c r="D25" s="58" t="inlineStr">
        <is>
          <t>5</t>
        </is>
      </c>
      <c r="E25" s="58" t="inlineStr">
        <is>
          <t>S2</t>
        </is>
      </c>
      <c r="F25" s="58" t="inlineStr">
        <is>
          <t>EP-03</t>
        </is>
      </c>
      <c r="G25" s="58" t="inlineStr">
        <is>
          <t>✅</t>
        </is>
      </c>
    </row>
    <row r="26">
      <c r="A26" s="58" t="inlineStr">
        <is>
          <t>US-09</t>
        </is>
      </c>
      <c r="B26" s="58" t="inlineStr">
        <is>
          <t>Como worker, quero ler a fila unificada independente do tribunal de origem</t>
        </is>
      </c>
      <c r="C26" s="58" t="inlineStr">
        <is>
          <t>RF-03</t>
        </is>
      </c>
      <c r="D26" s="58" t="inlineStr">
        <is>
          <t>5</t>
        </is>
      </c>
      <c r="E26" s="58" t="inlineStr">
        <is>
          <t>S6</t>
        </is>
      </c>
      <c r="F26" s="58" t="inlineStr">
        <is>
          <t>EP-03</t>
        </is>
      </c>
      <c r="G26" s="58" t="inlineStr">
        <is>
          <t>✅</t>
        </is>
      </c>
    </row>
    <row r="27">
      <c r="A27" s="58" t="inlineStr">
        <is>
          <t>US-10</t>
        </is>
      </c>
      <c r="B27" s="58" t="inlineStr">
        <is>
          <t>Como sistema, quero desligar o NUP nas APIs parceiras após captura via CNJ, registrando log</t>
        </is>
      </c>
      <c r="C27" s="58" t="inlineStr">
        <is>
          <t>RF-04</t>
        </is>
      </c>
      <c r="D27" s="58" t="inlineStr">
        <is>
          <t>8</t>
        </is>
      </c>
      <c r="E27" s="58" t="inlineStr">
        <is>
          <t>S7</t>
        </is>
      </c>
      <c r="F27" s="58" t="inlineStr">
        <is>
          <t>EP-04</t>
        </is>
      </c>
      <c r="G27" s="58" t="inlineStr">
        <is>
          <t>✅</t>
        </is>
      </c>
    </row>
    <row r="28">
      <c r="A28" s="58" t="inlineStr">
        <is>
          <t>US-11</t>
        </is>
      </c>
      <c r="B28" s="58" t="inlineStr">
        <is>
          <t>Como sistema, quero fazer fallback para as parceiras por ordem de prioridade quando CNJ e EPROC falham</t>
        </is>
      </c>
      <c r="C28" s="58" t="inlineStr">
        <is>
          <t>RF-07</t>
        </is>
      </c>
      <c r="D28" s="58" t="inlineStr">
        <is>
          <t>8</t>
        </is>
      </c>
      <c r="E28" s="58" t="inlineStr">
        <is>
          <t>S8</t>
        </is>
      </c>
      <c r="F28" s="58" t="inlineStr">
        <is>
          <t>EP-04</t>
        </is>
      </c>
      <c r="G28" s="58" t="inlineStr">
        <is>
          <t>✅</t>
        </is>
      </c>
    </row>
    <row r="29">
      <c r="A29" s="58" t="inlineStr">
        <is>
          <t>US-12</t>
        </is>
      </c>
      <c r="B29" s="58" t="inlineStr">
        <is>
          <t>Como sistema, quero tratar todos os retornos das parceiras (NUP inválido, vazio/aguardando, erro total e parcial)</t>
        </is>
      </c>
      <c r="C29" s="58" t="inlineStr">
        <is>
          <t>RF-08</t>
        </is>
      </c>
      <c r="D29" s="58" t="inlineStr">
        <is>
          <t>8</t>
        </is>
      </c>
      <c r="E29" s="58" t="inlineStr">
        <is>
          <t>S8</t>
        </is>
      </c>
      <c r="F29" s="58" t="inlineStr">
        <is>
          <t>EP-04</t>
        </is>
      </c>
      <c r="G29" s="58" t="inlineStr">
        <is>
          <t>✅</t>
        </is>
      </c>
    </row>
    <row r="30">
      <c r="A30" s="58" t="inlineStr">
        <is>
          <t>US-13</t>
        </is>
      </c>
      <c r="B30" s="58" t="inlineStr">
        <is>
          <t>Como operação, quero controlar o segredo de justiça por instância (campo Segredo) sem impactar instâncias não restritas</t>
        </is>
      </c>
      <c r="C30" s="58" t="inlineStr">
        <is>
          <t>RF-10</t>
        </is>
      </c>
      <c r="D30" s="58" t="inlineStr">
        <is>
          <t>13</t>
        </is>
      </c>
      <c r="E30" s="58" t="inlineStr">
        <is>
          <t>S9</t>
        </is>
      </c>
      <c r="F30" s="58" t="inlineStr">
        <is>
          <t>EP-05</t>
        </is>
      </c>
      <c r="G30" s="58" t="inlineStr">
        <is>
          <t>✅</t>
        </is>
      </c>
    </row>
    <row r="31">
      <c r="A31" s="58" t="inlineStr">
        <is>
          <t>US-14</t>
        </is>
      </c>
      <c r="B31" s="58" t="inlineStr">
        <is>
          <t>Como operação, quero registrar erros detalhados por instância nas tabelas de controle</t>
        </is>
      </c>
      <c r="C31" s="58" t="inlineStr">
        <is>
          <t>RF-09</t>
        </is>
      </c>
      <c r="D31" s="58" t="inlineStr">
        <is>
          <t>5</t>
        </is>
      </c>
      <c r="E31" s="58" t="inlineStr">
        <is>
          <t>S8</t>
        </is>
      </c>
      <c r="F31" s="58" t="inlineStr">
        <is>
          <t>EP-06</t>
        </is>
      </c>
      <c r="G31" s="58" t="inlineStr">
        <is>
          <t>✅</t>
        </is>
      </c>
    </row>
    <row r="32">
      <c r="A32" s="58" t="inlineStr">
        <is>
          <t>US-15</t>
        </is>
      </c>
      <c r="B32" s="58" t="inlineStr">
        <is>
          <t>Como operação, quero que a fila se recupere de travamentos sem intervenção manual (incidente de 137 mil itens)</t>
        </is>
      </c>
      <c r="C32" s="58" t="inlineStr">
        <is>
          <t>RNF-02</t>
        </is>
      </c>
      <c r="D32" s="58" t="inlineStr">
        <is>
          <t>8</t>
        </is>
      </c>
      <c r="E32" s="58" t="inlineStr">
        <is>
          <t>S7</t>
        </is>
      </c>
      <c r="F32" s="58" t="inlineStr">
        <is>
          <t>EP-06</t>
        </is>
      </c>
      <c r="G32" s="58" t="inlineStr">
        <is>
          <t>✅</t>
        </is>
      </c>
    </row>
    <row r="33">
      <c r="A33" s="58" t="inlineStr">
        <is>
          <t>US-16</t>
        </is>
      </c>
      <c r="B33" s="58" t="inlineStr">
        <is>
          <t>Como QA, quero validar o fluxo completo (sucesso, fallback e erro parcial) por amostragem (E2E)</t>
        </is>
      </c>
      <c r="C33" s="58" t="inlineStr">
        <is>
          <t>VV</t>
        </is>
      </c>
      <c r="D33" s="58" t="inlineStr">
        <is>
          <t>8</t>
        </is>
      </c>
      <c r="E33" s="58" t="inlineStr">
        <is>
          <t>S10</t>
        </is>
      </c>
      <c r="F33" s="58" t="inlineStr">
        <is>
          <t>EP-07</t>
        </is>
      </c>
      <c r="G33" s="58" t="inlineStr">
        <is>
          <t>✅</t>
        </is>
      </c>
    </row>
    <row r="34">
      <c r="A34" s="58" t="inlineStr">
        <is>
          <t>US-17</t>
        </is>
      </c>
      <c r="B34" s="58" t="inlineStr">
        <is>
          <t>Como sistema, quero retry no envio ao webhook para aumentar a resiliência da entrega ao Elasticsearch</t>
        </is>
      </c>
      <c r="C34" s="58" t="inlineStr">
        <is>
          <t>RNF-02</t>
        </is>
      </c>
      <c r="D34" s="58" t="inlineStr">
        <is>
          <t>5</t>
        </is>
      </c>
      <c r="E34" s="58" t="inlineStr">
        <is>
          <t>S10</t>
        </is>
      </c>
      <c r="F34" s="58" t="inlineStr">
        <is>
          <t>EP-07</t>
        </is>
      </c>
      <c r="G34" s="58" t="inlineStr">
        <is>
          <t>✅</t>
        </is>
      </c>
    </row>
    <row r="35">
      <c r="A35" s="58" t="inlineStr">
        <is>
          <t>US-18</t>
        </is>
      </c>
      <c r="B35" s="58" t="inlineStr">
        <is>
          <t>Como operação, quero implantar via GMUD e retomar a captura de 2ª instância no EPROC</t>
        </is>
      </c>
      <c r="C35" s="58" t="inlineStr">
        <is>
          <t>Fase 6</t>
        </is>
      </c>
      <c r="D35" s="58" t="inlineStr">
        <is>
          <t>8</t>
        </is>
      </c>
      <c r="E35" s="58" t="inlineStr">
        <is>
          <t>S11</t>
        </is>
      </c>
      <c r="F35" s="58" t="inlineStr">
        <is>
          <t>EP-07</t>
        </is>
      </c>
      <c r="G35" s="58" t="inlineStr">
        <is>
          <t>🟡 Em and.</t>
        </is>
      </c>
    </row>
    <row r="36">
      <c r="A36" s="58" t="inlineStr">
        <is>
          <t>TOTAL — 20 histórias</t>
        </is>
      </c>
      <c r="D36" s="58" t="inlineStr">
        <is>
          <t>155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s="58" t="inlineStr">
        <is>
          <t>ACOMPANHAMENTO DE SPRINTS</t>
        </is>
      </c>
    </row>
    <row r="2">
      <c r="A2" s="58" t="inlineStr">
        <is>
          <t>Referência: RAC-AASPCNJ01-001 · MED-AASPCNJ01-001 · SP = modelagem retroativa</t>
        </is>
      </c>
    </row>
    <row r="4">
      <c r="A4" s="58" t="inlineStr">
        <is>
          <t>EVOLUÇÃO POR SPRINT</t>
        </is>
      </c>
    </row>
    <row r="5">
      <c r="A5" s="58" t="inlineStr">
        <is>
          <t>Sprint</t>
        </is>
      </c>
      <c r="B5" s="58" t="inlineStr">
        <is>
          <t>Período</t>
        </is>
      </c>
      <c r="C5" s="58" t="inlineStr">
        <is>
          <t>SP Plan.</t>
        </is>
      </c>
      <c r="D5" s="58" t="inlineStr">
        <is>
          <t>SP Real.</t>
        </is>
      </c>
      <c r="E5" s="58" t="inlineStr">
        <is>
          <t>Desvio</t>
        </is>
      </c>
      <c r="F5" s="58" t="inlineStr">
        <is>
          <t>Velocity</t>
        </is>
      </c>
      <c r="G5" s="58" t="inlineStr">
        <is>
          <t>Defeitos</t>
        </is>
      </c>
      <c r="H5" s="58" t="inlineStr">
        <is>
          <t>Observação / eventos</t>
        </is>
      </c>
    </row>
    <row r="6">
      <c r="A6" s="58" t="inlineStr">
        <is>
          <t>Discovery</t>
        </is>
      </c>
      <c r="B6" s="58" t="inlineStr">
        <is>
          <t>Out/25–09/01/26</t>
        </is>
      </c>
      <c r="C6" s="58" t="inlineStr">
        <is>
          <t>8</t>
        </is>
      </c>
      <c r="D6" s="58" t="inlineStr">
        <is>
          <t>8</t>
        </is>
      </c>
      <c r="E6" s="58" t="inlineStr">
        <is>
          <t>0</t>
        </is>
      </c>
      <c r="F6" s="58" t="inlineStr">
        <is>
          <t>8</t>
        </is>
      </c>
      <c r="G6" s="58" t="inlineStr">
        <is>
          <t>0</t>
        </is>
      </c>
      <c r="H6" s="58" t="inlineStr">
        <is>
          <t>Estudo do captcha; arquitetura EPROC/ESAJ</t>
        </is>
      </c>
    </row>
    <row r="7">
      <c r="A7" s="58" t="inlineStr">
        <is>
          <t>Sprint 1</t>
        </is>
      </c>
      <c r="B7" s="58" t="inlineStr">
        <is>
          <t>12–23/01/26</t>
        </is>
      </c>
      <c r="C7" s="58" t="inlineStr">
        <is>
          <t>13</t>
        </is>
      </c>
      <c r="D7" s="58" t="inlineStr">
        <is>
          <t>13</t>
        </is>
      </c>
      <c r="E7" s="58" t="inlineStr">
        <is>
          <t>0</t>
        </is>
      </c>
      <c r="F7" s="58" t="inlineStr">
        <is>
          <t>13</t>
        </is>
      </c>
      <c r="G7" s="58" t="inlineStr">
        <is>
          <t>0</t>
        </is>
      </c>
      <c r="H7" s="58" t="inlineStr">
        <is>
          <t>Crawler EPROC TJSP; webhook indexação</t>
        </is>
      </c>
    </row>
    <row r="8">
      <c r="A8" s="58" t="inlineStr">
        <is>
          <t>Sprint 2</t>
        </is>
      </c>
      <c r="B8" s="58" t="inlineStr">
        <is>
          <t>26/01–06/02/26</t>
        </is>
      </c>
      <c r="C8" s="58" t="inlineStr">
        <is>
          <t>5</t>
        </is>
      </c>
      <c r="D8" s="58" t="inlineStr">
        <is>
          <t>5</t>
        </is>
      </c>
      <c r="E8" s="58" t="inlineStr">
        <is>
          <t>0</t>
        </is>
      </c>
      <c r="F8" s="58" t="inlineStr">
        <is>
          <t>5</t>
        </is>
      </c>
      <c r="G8" s="58" t="inlineStr">
        <is>
          <t>0</t>
        </is>
      </c>
      <c r="H8" s="58" t="inlineStr">
        <is>
          <t>Enfileiramento EprocTjsp; endpoint RabbitMQ</t>
        </is>
      </c>
    </row>
    <row r="9">
      <c r="A9" s="58" t="inlineStr">
        <is>
          <t>Sprint 3</t>
        </is>
      </c>
      <c r="B9" s="58" t="inlineStr">
        <is>
          <t>09–20/02/26</t>
        </is>
      </c>
      <c r="C9" s="58" t="inlineStr">
        <is>
          <t>8</t>
        </is>
      </c>
      <c r="D9" s="58" t="inlineStr">
        <is>
          <t>8</t>
        </is>
      </c>
      <c r="E9" s="58" t="inlineStr">
        <is>
          <t>0</t>
        </is>
      </c>
      <c r="F9" s="58" t="inlineStr">
        <is>
          <t>8</t>
        </is>
      </c>
      <c r="G9" s="58" t="inlineStr">
        <is>
          <t>0</t>
        </is>
      </c>
      <c r="H9" s="58" t="inlineStr">
        <is>
          <t>Proxy; 1ª instância; testes de desempenho</t>
        </is>
      </c>
    </row>
    <row r="10">
      <c r="A10" s="58" t="inlineStr">
        <is>
          <t>Sprint 4</t>
        </is>
      </c>
      <c r="B10" s="58" t="inlineStr">
        <is>
          <t>23/02–06/03/26</t>
        </is>
      </c>
      <c r="C10" s="58" t="inlineStr">
        <is>
          <t>8</t>
        </is>
      </c>
      <c r="D10" s="58" t="inlineStr">
        <is>
          <t>8</t>
        </is>
      </c>
      <c r="E10" s="58" t="inlineStr">
        <is>
          <t>0</t>
        </is>
      </c>
      <c r="F10" s="58" t="inlineStr">
        <is>
          <t>8</t>
        </is>
      </c>
      <c r="G10" s="58" t="inlineStr">
        <is>
          <t>4</t>
        </is>
      </c>
      <c r="H10" s="58" t="inlineStr">
        <is>
          <t>Correções: navegador, timeout, nullabilidade (BUG-01..04)</t>
        </is>
      </c>
    </row>
    <row r="11">
      <c r="A11" s="58" t="inlineStr">
        <is>
          <t>Sprint 5</t>
        </is>
      </c>
      <c r="B11" s="58" t="inlineStr">
        <is>
          <t>09–20/03/26</t>
        </is>
      </c>
      <c r="C11" s="58" t="inlineStr">
        <is>
          <t>5</t>
        </is>
      </c>
      <c r="D11" s="58" t="inlineStr">
        <is>
          <t>5</t>
        </is>
      </c>
      <c r="E11" s="58" t="inlineStr">
        <is>
          <t>0</t>
        </is>
      </c>
      <c r="F11" s="58" t="inlineStr">
        <is>
          <t>5</t>
        </is>
      </c>
      <c r="G11" s="58" t="inlineStr">
        <is>
          <t>0</t>
        </is>
      </c>
      <c r="H11" s="58" t="inlineStr">
        <is>
          <t>Desempenho crawler; ESAJ; GMUD EPROC</t>
        </is>
      </c>
    </row>
    <row r="12">
      <c r="A12" s="58" t="inlineStr">
        <is>
          <t>Sprint 6</t>
        </is>
      </c>
      <c r="B12" s="58" t="inlineStr">
        <is>
          <t>23/03–03/04/26</t>
        </is>
      </c>
      <c r="C12" s="58" t="inlineStr">
        <is>
          <t>18</t>
        </is>
      </c>
      <c r="D12" s="58" t="inlineStr">
        <is>
          <t>18</t>
        </is>
      </c>
      <c r="E12" s="58" t="inlineStr">
        <is>
          <t>0</t>
        </is>
      </c>
      <c r="F12" s="58" t="inlineStr">
        <is>
          <t>18</t>
        </is>
      </c>
      <c r="G12" s="58" t="inlineStr">
        <is>
          <t>0</t>
        </is>
      </c>
      <c r="H12" s="58" t="inlineStr">
        <is>
          <t>Worker CNJ; fila unificada; captura CNJ</t>
        </is>
      </c>
    </row>
    <row r="13">
      <c r="A13" s="58" t="inlineStr">
        <is>
          <t>Sprint 7</t>
        </is>
      </c>
      <c r="B13" s="58" t="inlineStr">
        <is>
          <t>06–17/04/26</t>
        </is>
      </c>
      <c r="C13" s="58" t="inlineStr">
        <is>
          <t>27</t>
        </is>
      </c>
      <c r="D13" s="58" t="inlineStr">
        <is>
          <t>27</t>
        </is>
      </c>
      <c r="E13" s="58" t="inlineStr">
        <is>
          <t>0</t>
        </is>
      </c>
      <c r="F13" s="58" t="inlineStr">
        <is>
          <t>27</t>
        </is>
      </c>
      <c r="G13" s="58" t="inlineStr">
        <is>
          <t>3</t>
        </is>
      </c>
      <c r="H13" s="58" t="inlineStr">
        <is>
          <t>Webhook CNJ; fila 137k corrigida; desligamento parceiras (BUG-05..07)</t>
        </is>
      </c>
    </row>
    <row r="14">
      <c r="A14" s="58" t="inlineStr">
        <is>
          <t>Sprint 8</t>
        </is>
      </c>
      <c r="B14" s="58" t="inlineStr">
        <is>
          <t>20/04–01/05/26</t>
        </is>
      </c>
      <c r="C14" s="58" t="inlineStr">
        <is>
          <t>29</t>
        </is>
      </c>
      <c r="D14" s="58" t="inlineStr">
        <is>
          <t>29</t>
        </is>
      </c>
      <c r="E14" s="58" t="inlineStr">
        <is>
          <t>0</t>
        </is>
      </c>
      <c r="F14" s="58" t="inlineStr">
        <is>
          <t>29</t>
        </is>
      </c>
      <c r="G14" s="58" t="inlineStr">
        <is>
          <t>0</t>
        </is>
      </c>
      <c r="H14" s="58" t="inlineStr">
        <is>
          <t>Token compartilhado; fallback; tratamento de retornos (2 devs)</t>
        </is>
      </c>
    </row>
    <row r="15">
      <c r="A15" s="58" t="inlineStr">
        <is>
          <t>Sprint 9</t>
        </is>
      </c>
      <c r="B15" s="58" t="inlineStr">
        <is>
          <t>04–15/05/26</t>
        </is>
      </c>
      <c r="C15" s="58" t="inlineStr">
        <is>
          <t>13</t>
        </is>
      </c>
      <c r="D15" s="58" t="inlineStr">
        <is>
          <t>13</t>
        </is>
      </c>
      <c r="E15" s="58" t="inlineStr">
        <is>
          <t>0</t>
        </is>
      </c>
      <c r="F15" s="58" t="inlineStr">
        <is>
          <t>13</t>
        </is>
      </c>
      <c r="G15" s="58" t="inlineStr">
        <is>
          <t>0</t>
        </is>
      </c>
      <c r="H15" s="58" t="inlineStr">
        <is>
          <t>Segredo de justiça por instância (escopo adicional)</t>
        </is>
      </c>
    </row>
    <row r="16">
      <c r="A16" s="58" t="inlineStr">
        <is>
          <t>Sprint 10</t>
        </is>
      </c>
      <c r="B16" s="58" t="inlineStr">
        <is>
          <t>18–29/05/26</t>
        </is>
      </c>
      <c r="C16" s="58" t="inlineStr">
        <is>
          <t>13</t>
        </is>
      </c>
      <c r="D16" s="58" t="inlineStr">
        <is>
          <t>13</t>
        </is>
      </c>
      <c r="E16" s="58" t="inlineStr">
        <is>
          <t>0</t>
        </is>
      </c>
      <c r="F16" s="58" t="inlineStr">
        <is>
          <t>13</t>
        </is>
      </c>
      <c r="G16" s="58" t="inlineStr">
        <is>
          <t>2</t>
        </is>
      </c>
      <c r="H16" s="58" t="inlineStr">
        <is>
          <t>Validação E2E; retry webhook (BUG-08..09)</t>
        </is>
      </c>
    </row>
    <row r="17">
      <c r="A17" s="58" t="inlineStr">
        <is>
          <t>Sprint 11</t>
        </is>
      </c>
      <c r="B17" s="58" t="inlineStr">
        <is>
          <t>01–12/06/26</t>
        </is>
      </c>
      <c r="C17" s="58" t="inlineStr">
        <is>
          <t>8</t>
        </is>
      </c>
      <c r="D17" s="58" t="inlineStr">
        <is>
          <t>Em and.</t>
        </is>
      </c>
      <c r="E17" s="58" t="inlineStr">
        <is>
          <t>—</t>
        </is>
      </c>
      <c r="F17" s="58" t="inlineStr">
        <is>
          <t>—</t>
        </is>
      </c>
      <c r="G17" s="58" t="inlineStr">
        <is>
          <t>1 (v241)</t>
        </is>
      </c>
      <c r="H17" s="58" t="inlineStr">
        <is>
          <t>Fase 6 — GMUD, deploy, 2ª instância (em andamento)</t>
        </is>
      </c>
    </row>
    <row r="18">
      <c r="A18" s="58" t="inlineStr">
        <is>
          <t>TOTAL / MÉDIA</t>
        </is>
      </c>
      <c r="B18" s="58" t="inlineStr">
        <is>
          <t>Disc.+11 sprints</t>
        </is>
      </c>
      <c r="C18" s="58" t="inlineStr">
        <is>
          <t>155</t>
        </is>
      </c>
      <c r="D18" s="58" t="inlineStr">
        <is>
          <t>147 (dev)</t>
        </is>
      </c>
      <c r="E18" s="58" t="inlineStr">
        <is>
          <t>0</t>
        </is>
      </c>
      <c r="F18" s="58" t="inlineStr">
        <is>
          <t>~14</t>
        </is>
      </c>
      <c r="G18" s="58" t="inlineStr">
        <is>
          <t>10 (9 dev + 1 contenção v241)</t>
        </is>
      </c>
      <c r="H18" s="58" t="inlineStr">
        <is>
          <t>Dev concluído 01/06/26 (+~30 dias). Fase 6 em andamento.</t>
        </is>
      </c>
    </row>
    <row r="20">
      <c r="A20" s="58" t="inlineStr">
        <is>
          <t>RESULTADOS DE TESTES — SÍNTESE</t>
        </is>
      </c>
    </row>
    <row r="21">
      <c r="A21" s="58" t="inlineStr">
        <is>
          <t>Nível / Tipo</t>
        </is>
      </c>
      <c r="B21" s="58" t="inlineStr">
        <is>
          <t>Itens</t>
        </is>
      </c>
      <c r="C21" s="58" t="inlineStr">
        <is>
          <t>Resultado</t>
        </is>
      </c>
      <c r="D21" s="58" t="inlineStr">
        <is>
          <t>Defeitos</t>
        </is>
      </c>
      <c r="H21" s="58" t="inlineStr">
        <is>
          <t>Referência</t>
        </is>
      </c>
    </row>
    <row r="22">
      <c r="A22" s="58" t="inlineStr">
        <is>
          <t>Testes de desempenho (EPROC)</t>
        </is>
      </c>
      <c r="B22" s="58" t="inlineStr">
        <is>
          <t>fluxo c/ múltiplos workers</t>
        </is>
      </c>
      <c r="C22" s="58" t="inlineStr">
        <is>
          <t>Aprovado</t>
        </is>
      </c>
      <c r="D22" s="58" t="inlineStr">
        <is>
          <t>0</t>
        </is>
      </c>
      <c r="H22" s="58" t="inlineStr">
        <is>
          <t>REL-VV §2 (Fase 2)</t>
        </is>
      </c>
    </row>
    <row r="23">
      <c r="A23" s="58" t="inlineStr">
        <is>
          <t>Testes de integração (CNJ + webhook)</t>
        </is>
      </c>
      <c r="B23" s="58" t="inlineStr">
        <is>
          <t>fluxo completo</t>
        </is>
      </c>
      <c r="C23" s="58" t="inlineStr">
        <is>
          <t>Aprovado</t>
        </is>
      </c>
      <c r="D23" s="58" t="inlineStr">
        <is>
          <t>BUG-05..07 (corrigidos)</t>
        </is>
      </c>
      <c r="H23" s="58" t="inlineStr">
        <is>
          <t>REL-VV §2 (Fase 4)</t>
        </is>
      </c>
    </row>
    <row r="24">
      <c r="A24" s="58" t="inlineStr">
        <is>
          <t>Testes de fluxo / E2E</t>
        </is>
      </c>
      <c r="B24" s="58" t="inlineStr">
        <is>
          <t>sucesso, fallback, erro parcial</t>
        </is>
      </c>
      <c r="C24" s="58" t="inlineStr">
        <is>
          <t>Aprovado por amostragem</t>
        </is>
      </c>
      <c r="D24" s="58" t="inlineStr">
        <is>
          <t>0</t>
        </is>
      </c>
      <c r="H24" s="58" t="inlineStr">
        <is>
          <t>REL-VV §2 (Fase 5)</t>
        </is>
      </c>
    </row>
    <row r="25">
      <c r="A25" s="58" t="inlineStr">
        <is>
          <t>Testes de persistência</t>
        </is>
      </c>
      <c r="B25" s="58" t="inlineStr">
        <is>
          <t>movimentações por instância</t>
        </is>
      </c>
      <c r="C25" s="58" t="inlineStr">
        <is>
          <t>Aprovado</t>
        </is>
      </c>
      <c r="D25" s="58" t="inlineStr">
        <is>
          <t>0</t>
        </is>
      </c>
      <c r="H25" s="58" t="inlineStr">
        <is>
          <t>REL-VV §2 (Fase 5)</t>
        </is>
      </c>
    </row>
    <row r="26">
      <c r="A26" s="58" t="inlineStr">
        <is>
          <t>Critérios de aceite</t>
        </is>
      </c>
      <c r="B26" s="58" t="inlineStr">
        <is>
          <t>CA01–CA07</t>
        </is>
      </c>
      <c r="C26" s="58" t="inlineStr">
        <is>
          <t>7/7 validados</t>
        </is>
      </c>
      <c r="D26" s="58" t="inlineStr">
        <is>
          <t>—</t>
        </is>
      </c>
      <c r="H26" s="58" t="inlineStr">
        <is>
          <t>VV-AASPCNJ01-001 §3</t>
        </is>
      </c>
    </row>
    <row r="28">
      <c r="A28" s="58" t="inlineStr">
        <is>
          <t>Nota: SP = esforço de desenvolvimento por sprint (modelagem retroativa); o merge em develop pode cair em sprint posterior ao desenvolvimento. Discovery + 11 sprints = 12 ciclos; 155 SP planejados.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2026-06-12T22:02:35Z</dcterms:created>
  <dcterms:modified xmlns:dcterms="http://purl.org/dc/terms/" xmlns:xsi="http://www.w3.org/2001/XMLSchema-instance" xsi:type="dcterms:W3CDTF">2026-06-16T04:15:48Z</dcterms:modified>
  <cp:revision>0</cp:revision>
</cp:coreProperties>
</file>