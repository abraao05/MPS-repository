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são Geral" sheetId="1" state="visible" r:id="rId3"/>
    <sheet name="Cronograma" sheetId="2" state="visible" r:id="rId4"/>
    <sheet name="Backlog" sheetId="3" state="visible" r:id="rId5"/>
    <sheet name="Equipe" sheetId="4" state="visible" r:id="rId6"/>
    <sheet name="Acompanhamento" sheetId="5" state="visible" r:id="rId7"/>
    <sheet name="Riscos" sheetId="6" state="visible" r:id="rId8"/>
    <sheet name="Change Requests" sheetId="7" state="visible" r:id="rId9"/>
    <sheet name="Medição" sheetId="8" state="visible" r:id="rId10"/>
    <sheet name="GQA" sheetId="9" state="visible" r:id="rId11"/>
    <sheet name="V&amp;V — Teste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<sst xmlns="http://schemas.openxmlformats.org/spreadsheetml/2006/main" count="584" uniqueCount="408">
  <si>
    <t xml:space="preserve">GESTÃO DO PROJETO — GRUPOS DE USUÁRIOS · AASP GERENCIADOR</t>
  </si>
  <si>
    <t xml:space="preserve">Planilha de Registros de Gestão · Timeware Brasil · Referência: AASP-GPR-001</t>
  </si>
  <si>
    <t xml:space="preserve">IDENTIFICAÇÃO DO PROJETO</t>
  </si>
  <si>
    <t xml:space="preserve">Cliente</t>
  </si>
  <si>
    <t xml:space="preserve">AASP — Associação dos Advogados de São Paulo</t>
  </si>
  <si>
    <t xml:space="preserve">Produto / sistema</t>
  </si>
  <si>
    <t xml:space="preserve">Feature AG — Grupos de Usuários · API ms.auxo.gruposusuarios · .NET Framework 4.7.2 / Dapper / SQL Server</t>
  </si>
  <si>
    <t xml:space="preserve">Contrato</t>
  </si>
  <si>
    <t xml:space="preserve">Contrato de desenvolvimento Timeware × AASP — Gerenciador</t>
  </si>
  <si>
    <t xml:space="preserve">Repositório</t>
  </si>
  <si>
    <t xml:space="preserve">Azure DevOps · komatsuhenry67/gerenciador-aasp/ms.auxo.gruposusuarios</t>
  </si>
  <si>
    <t xml:space="preserve">Branch model</t>
  </si>
  <si>
    <t xml:space="preserve">Git Flow — main / develop / feature/* / release/*</t>
  </si>
  <si>
    <t xml:space="preserve">Banco de dados</t>
  </si>
  <si>
    <t xml:space="preserve">SQL Server · banco auxo3 (principal) · banco temis3 (integração vinculos)</t>
  </si>
  <si>
    <t xml:space="preserve">Integração</t>
  </si>
  <si>
    <t xml:space="preserve">ms.temis.vinculos — vinculação Usuário ↔ Grupo</t>
  </si>
  <si>
    <t xml:space="preserve">RESPONSÁVEIS</t>
  </si>
  <si>
    <t xml:space="preserve">Gerente de Projeto / Tech Lead</t>
  </si>
  <si>
    <t xml:space="preserve">Henry Komatsu — Timeware Brasil</t>
  </si>
  <si>
    <t xml:space="preserve">Product Owner (cliente)</t>
  </si>
  <si>
    <t xml:space="preserve">Marcos Ferreira — AASP</t>
  </si>
  <si>
    <t xml:space="preserve">Equipe de desenvolvimento</t>
  </si>
  <si>
    <t xml:space="preserve">Henry Komatsu (Dev Pleno), Bruno Almeida (Dev Junior)</t>
  </si>
  <si>
    <t xml:space="preserve">DATAS DO PROJETO</t>
  </si>
  <si>
    <t xml:space="preserve">Início do projeto</t>
  </si>
  <si>
    <t xml:space="preserve">19/05/2026</t>
  </si>
  <si>
    <t xml:space="preserve">Previsão de encerramento</t>
  </si>
  <si>
    <t xml:space="preserve">11/07/2026</t>
  </si>
  <si>
    <t xml:space="preserve">Última atualização desta planilha</t>
  </si>
  <si>
    <t xml:space="preserve">15/06/2026</t>
  </si>
  <si>
    <t xml:space="preserve">RESUMO DE STATUS</t>
  </si>
  <si>
    <t xml:space="preserve">Sprints totais planejadas</t>
  </si>
  <si>
    <t xml:space="preserve">4</t>
  </si>
  <si>
    <t xml:space="preserve">Sprints concluídas</t>
  </si>
  <si>
    <t xml:space="preserve">1 (Sprint 1 — aceite 06/06/2026)</t>
  </si>
  <si>
    <t xml:space="preserve">Sprint atual</t>
  </si>
  <si>
    <t xml:space="preserve">Sprint 2 — em andamento (09/06–20/06/2026)</t>
  </si>
  <si>
    <t xml:space="preserve">Total de requisitos</t>
  </si>
  <si>
    <t xml:space="preserve">6 (AG-20 a AG-25)</t>
  </si>
  <si>
    <t xml:space="preserve">Change Requests</t>
  </si>
  <si>
    <t xml:space="preserve">0 — nenhum CR registrado</t>
  </si>
  <si>
    <t xml:space="preserve">Status geral</t>
  </si>
  <si>
    <t xml:space="preserve">🟡 Em andamento — Sprint 2 em progresso</t>
  </si>
  <si>
    <t xml:space="preserve">CRONOGRAMA DO PROJETO — MARCOS E SPRINTS</t>
  </si>
  <si>
    <t xml:space="preserve">Referência: PLA-AASP01-001 §5.2  |  * SP = estimativas baseadas em complexidade das histórias</t>
  </si>
  <si>
    <t xml:space="preserve">PLANEJAMENTO E ARQUITETURA</t>
  </si>
  <si>
    <t xml:space="preserve">Marco / Sprint</t>
  </si>
  <si>
    <t xml:space="preserve">Data Prevista</t>
  </si>
  <si>
    <t xml:space="preserve">Data Realizada</t>
  </si>
  <si>
    <t xml:space="preserve">Duração</t>
  </si>
  <si>
    <t xml:space="preserve">SP *</t>
  </si>
  <si>
    <t xml:space="preserve">Principais entregas</t>
  </si>
  <si>
    <t xml:space="preserve">Status</t>
  </si>
  <si>
    <t xml:space="preserve">Observação</t>
  </si>
  <si>
    <t xml:space="preserve">Kickoff e Planejamento</t>
  </si>
  <si>
    <t xml:space="preserve">1 dia</t>
  </si>
  <si>
    <t xml:space="preserve">—</t>
  </si>
  <si>
    <t xml:space="preserve">ATA de Kickoff; TAP; PLA aprovados; escopo alinhado com Marcos Ferreira</t>
  </si>
  <si>
    <t xml:space="preserve">✅ Concluído</t>
  </si>
  <si>
    <t xml:space="preserve">Reunião presencial AASP</t>
  </si>
  <si>
    <t xml:space="preserve">SPRINTS DE DESENVOLVIMENTO</t>
  </si>
  <si>
    <t xml:space="preserve">Sprint 1</t>
  </si>
  <si>
    <t xml:space="preserve">26/05/2026</t>
  </si>
  <si>
    <t xml:space="preserve">06/06/2026</t>
  </si>
  <si>
    <t xml:space="preserve">2 semanas</t>
  </si>
  <si>
    <t xml:space="preserve">AG-20 (CRUD Grupos), AG-21 (Permissões), AG-22 (Vínculo Usuário↔Grupo); endpoints POST/GET/PUT/DELETE; testes unitários</t>
  </si>
  <si>
    <t xml:space="preserve">Aceite formal Marcos Ferreira 06/06/2026</t>
  </si>
  <si>
    <t xml:space="preserve">Sprint 2</t>
  </si>
  <si>
    <t xml:space="preserve">09/06/2026</t>
  </si>
  <si>
    <t xml:space="preserve">20/06/2026</t>
  </si>
  <si>
    <t xml:space="preserve">AG-23 (Auditoria/Log), AG-24 (Integração ms.temis.vinculos); testes de integração</t>
  </si>
  <si>
    <t xml:space="preserve">🔄 Em andamento</t>
  </si>
  <si>
    <t xml:space="preserve">Sprint atual — 60% concluído (est.)</t>
  </si>
  <si>
    <t xml:space="preserve">Sprint 3</t>
  </si>
  <si>
    <t xml:space="preserve">23/06/2026</t>
  </si>
  <si>
    <t xml:space="preserve">04/07/2026</t>
  </si>
  <si>
    <t xml:space="preserve">AG-25 (Relatórios de Grupos); ajustes de performance; documentação técnica</t>
  </si>
  <si>
    <t xml:space="preserve">📅 Planejado</t>
  </si>
  <si>
    <t xml:space="preserve">Sprint 4 (Encerramento)</t>
  </si>
  <si>
    <t xml:space="preserve">07/07/2026</t>
  </si>
  <si>
    <t xml:space="preserve">1 semana</t>
  </si>
  <si>
    <t xml:space="preserve">Homologação final; TAE; LI; GQA; entrega formal</t>
  </si>
  <si>
    <t xml:space="preserve">Encerramento do projeto</t>
  </si>
  <si>
    <t xml:space="preserve">RESUMO DE SP</t>
  </si>
  <si>
    <t xml:space="preserve">Total SP planejado (est.)</t>
  </si>
  <si>
    <t xml:space="preserve">SP realizados Sprint 1</t>
  </si>
  <si>
    <t xml:space="preserve">34</t>
  </si>
  <si>
    <t xml:space="preserve">SP em andamento Sprint 2</t>
  </si>
  <si>
    <t xml:space="preserve">~17 (50% de 28 est.)</t>
  </si>
  <si>
    <t xml:space="preserve">BACKLOG DO PROJETO — REQUISITOS</t>
  </si>
  <si>
    <t xml:space="preserve">Referência: REQ-AASP01-001  |  * SP = estimativas baseadas em complexidade declarada</t>
  </si>
  <si>
    <t xml:space="preserve">REQUISITOS FUNCIONAIS</t>
  </si>
  <si>
    <t xml:space="preserve">ID</t>
  </si>
  <si>
    <t xml:space="preserve">Descrição</t>
  </si>
  <si>
    <t xml:space="preserve">Tipo</t>
  </si>
  <si>
    <t xml:space="preserve">Sprint</t>
  </si>
  <si>
    <t xml:space="preserve">Prioridade</t>
  </si>
  <si>
    <t xml:space="preserve">CR</t>
  </si>
  <si>
    <t xml:space="preserve">AG-20</t>
  </si>
  <si>
    <t xml:space="preserve">CRUD de Grupos de Usuários — criação, leitura, atualização e exclusão lógica (soft delete) de grupos; endpoints RESTful POST /grupos, GET /grupos, GET /grupos/{id}, PUT /grupos/{id}, DELETE /grupos/{id}</t>
  </si>
  <si>
    <t xml:space="preserve">RF</t>
  </si>
  <si>
    <t xml:space="preserve">Alta</t>
  </si>
  <si>
    <t xml:space="preserve">Endpoints validados no Swagger; PR #11 e #12 aprovados</t>
  </si>
  <si>
    <t xml:space="preserve">AG-21</t>
  </si>
  <si>
    <t xml:space="preserve">Permissões por Grupo — associação de permissões a grupos; controle de acesso baseado em grupo (RBAC); endpoint PUT /grupos/{id}/permissoes</t>
  </si>
  <si>
    <t xml:space="preserve">PR #13 aprovado; 8 testes unitários</t>
  </si>
  <si>
    <t xml:space="preserve">AG-22</t>
  </si>
  <si>
    <t xml:space="preserve">Vinculação Usuário ↔ Grupo — adição e remoção de usuários em grupos; endpoint POST /grupos/{id}/usuarios e DELETE /grupos/{id}/usuarios/{userId}</t>
  </si>
  <si>
    <t xml:space="preserve">PR #14 e #15 aprovados; aceite Marcos 06/06</t>
  </si>
  <si>
    <t xml:space="preserve">AG-23</t>
  </si>
  <si>
    <t xml:space="preserve">Auditoria e Log de Ações — registro de todas as operações em grupos/permissões com usuário, timestamp e ação; tabela AuditoriaGrupos no banco auxo3</t>
  </si>
  <si>
    <t xml:space="preserve">Média</t>
  </si>
  <si>
    <t xml:space="preserve">70% implementado; tabela criada, triggers em revisão</t>
  </si>
  <si>
    <t xml:space="preserve">AG-24</t>
  </si>
  <si>
    <t xml:space="preserve">Integração ms.temis.vinculos — sincronização bidirecional de vínculos entre Grupos (auxo3) e Vínculos (temis3); chamadas HTTP entre microsserviços</t>
  </si>
  <si>
    <t xml:space="preserve">Contrato de API definido; implementação em andamento</t>
  </si>
  <si>
    <t xml:space="preserve">AG-25</t>
  </si>
  <si>
    <t xml:space="preserve">Relatórios de Grupos — endpoints de consulta consolidada; listagem de grupos com usuários e permissões; filtros por status e tipo; exportação CSV</t>
  </si>
  <si>
    <t xml:space="preserve">REQUISITOS NÃO FUNCIONAIS</t>
  </si>
  <si>
    <t xml:space="preserve">RNF-01</t>
  </si>
  <si>
    <t xml:space="preserve">Performance — APIs devem responder em ≤ 500ms para 95% das requisições sob carga normal (até 50 req/s)</t>
  </si>
  <si>
    <t xml:space="preserve">RNF</t>
  </si>
  <si>
    <t xml:space="preserve">Sprint 1–3</t>
  </si>
  <si>
    <t xml:space="preserve">✅ Meta atingida</t>
  </si>
  <si>
    <t xml:space="preserve">Monitorado via MED-AASP01-001</t>
  </si>
  <si>
    <t xml:space="preserve">RNF-02</t>
  </si>
  <si>
    <t xml:space="preserve">Segurança — autenticação JWT obrigatória em todos os endpoints; HTTPS; sem exposição de dados sensíveis nos logs</t>
  </si>
  <si>
    <t xml:space="preserve">✅ Implementado</t>
  </si>
  <si>
    <t xml:space="preserve">Validado em REV-AASP01-001</t>
  </si>
  <si>
    <t xml:space="preserve">RNF-03</t>
  </si>
  <si>
    <t xml:space="preserve">Rastreabilidade — todas as alterações em grupos devem ser auditáveis conforme AG-23</t>
  </si>
  <si>
    <t xml:space="preserve">🔄 Pendente AG-23</t>
  </si>
  <si>
    <t xml:space="preserve">Dependente de AG-23</t>
  </si>
  <si>
    <t xml:space="preserve">EQUIPE DO PROJETO</t>
  </si>
  <si>
    <t xml:space="preserve">Referência: TAP-AASP01-001 · PLA-AASP01-001 §6</t>
  </si>
  <si>
    <t xml:space="preserve">EQUIPE TIMEWARE</t>
  </si>
  <si>
    <t xml:space="preserve">Nome / Papel</t>
  </si>
  <si>
    <t xml:space="preserve">Organização</t>
  </si>
  <si>
    <t xml:space="preserve">Responsabilidade</t>
  </si>
  <si>
    <t xml:space="preserve">Sprints ativos</t>
  </si>
  <si>
    <t xml:space="preserve">Alocação</t>
  </si>
  <si>
    <t xml:space="preserve">Capacity</t>
  </si>
  <si>
    <t xml:space="preserve">Henry Komatsu — Tech Lead / Dev Pleno</t>
  </si>
  <si>
    <t xml:space="preserve">Timeware</t>
  </si>
  <si>
    <t xml:space="preserve">Arquitetura técnica, desenvolvimento principal, code review, PRs, decisões técnicas, comunicação com cliente</t>
  </si>
  <si>
    <t xml:space="preserve">1–4</t>
  </si>
  <si>
    <t xml:space="preserve">Integral</t>
  </si>
  <si>
    <t xml:space="preserve">2 devs-sprint</t>
  </si>
  <si>
    <t xml:space="preserve">Ponto focal técnico Timeware</t>
  </si>
  <si>
    <t xml:space="preserve">Bruno Almeida — Dev Junior</t>
  </si>
  <si>
    <t xml:space="preserve">Suporte ao desenvolvimento, implementação de endpoints secundários, testes unitários</t>
  </si>
  <si>
    <t xml:space="preserve">1–3</t>
  </si>
  <si>
    <t xml:space="preserve">Incluído na capacity</t>
  </si>
  <si>
    <t xml:space="preserve">Pair programming com Henry</t>
  </si>
  <si>
    <t xml:space="preserve">EQUIPE AASP (CLIENTE)</t>
  </si>
  <si>
    <t xml:space="preserve">Marcos Ferreira — Product Owner</t>
  </si>
  <si>
    <t xml:space="preserve">AASP</t>
  </si>
  <si>
    <t xml:space="preserve">Validação de requisitos, aceite de sprint, priorização de backlog, homologação final</t>
  </si>
  <si>
    <t xml:space="preserve">Parcial</t>
  </si>
  <si>
    <t xml:space="preserve">PO e representante cliente</t>
  </si>
  <si>
    <t xml:space="preserve">Renata Souza — QA / Homologadora</t>
  </si>
  <si>
    <t xml:space="preserve">Execução de cenários de aceite, validação de interface, aprovação de testes de homologação</t>
  </si>
  <si>
    <t xml:space="preserve">Ambiente de homologação AASP</t>
  </si>
  <si>
    <t xml:space="preserve">ACOMPANHAMENTO DE SPRINTS</t>
  </si>
  <si>
    <t xml:space="preserve">Referência: RAC-AASP01-001 · MED-AASP01-001 · PLA-AASP01-001</t>
  </si>
  <si>
    <t xml:space="preserve">EVOLUÇÃO POR SPRINT</t>
  </si>
  <si>
    <t xml:space="preserve">Período</t>
  </si>
  <si>
    <t xml:space="preserve">Capacity
(devs)</t>
  </si>
  <si>
    <t xml:space="preserve">SP Plan.</t>
  </si>
  <si>
    <t xml:space="preserve">SP Real.</t>
  </si>
  <si>
    <t xml:space="preserve">Desvio SP</t>
  </si>
  <si>
    <t xml:space="preserve">Velocity</t>
  </si>
  <si>
    <t xml:space="preserve">Def. Encontrados</t>
  </si>
  <si>
    <t xml:space="preserve">Def. Produção</t>
  </si>
  <si>
    <t xml:space="preserve">Observação / CRs</t>
  </si>
  <si>
    <t xml:space="preserve">26/05–06/06/2026</t>
  </si>
  <si>
    <t xml:space="preserve">0</t>
  </si>
  <si>
    <t xml:space="preserve">3 achados em code review (REV-AASP01-001); todos resolvidos antes do aceite. Aceite formal Marcos Ferreira 06/06/2026</t>
  </si>
  <si>
    <t xml:space="preserve">09/06–20/06/2026</t>
  </si>
  <si>
    <t xml:space="preserve">~17*</t>
  </si>
  <si>
    <t xml:space="preserve">Em andamento</t>
  </si>
  <si>
    <t xml:space="preserve">*Estimativa parcial (60% do sprint). Sprint em andamento — atualizar ao encerrar</t>
  </si>
  <si>
    <t xml:space="preserve">23/06–04/07/2026</t>
  </si>
  <si>
    <t xml:space="preserve">Planejado — dados a preencher após execução</t>
  </si>
  <si>
    <t xml:space="preserve">Sprint 4</t>
  </si>
  <si>
    <t xml:space="preserve">07/07–11/07/2026</t>
  </si>
  <si>
    <t xml:space="preserve">Encerramento — homologação final e TAE</t>
  </si>
  <si>
    <t xml:space="preserve">TOTAIS DO PROJETO</t>
  </si>
  <si>
    <t xml:space="preserve">SP total planejado</t>
  </si>
  <si>
    <t xml:space="preserve">SP realizado acumulado (Sprint 1)</t>
  </si>
  <si>
    <t xml:space="preserve">% concluído (SP)</t>
  </si>
  <si>
    <t xml:space="preserve">38% (34 de 90 SP est.)</t>
  </si>
  <si>
    <t xml:space="preserve">REGISTRO DE RISCOS</t>
  </si>
  <si>
    <t xml:space="preserve">Referência: PLA-AASP01-001 §9  |  Escala Prob./Imp.: 1=Baixo · 2=Médio · 3=Alto  |  Exposição = P×I</t>
  </si>
  <si>
    <t xml:space="preserve">RISCOS IDENTIFICADOS NO PROJETO</t>
  </si>
  <si>
    <t xml:space="preserve">Risco</t>
  </si>
  <si>
    <t xml:space="preserve">Prob.
(1–3)</t>
  </si>
  <si>
    <t xml:space="preserve">Imp.
(1–3)</t>
  </si>
  <si>
    <t xml:space="preserve">Exp.
(P×I)</t>
  </si>
  <si>
    <t xml:space="preserve">Categoria</t>
  </si>
  <si>
    <t xml:space="preserve">Resposta / O que ocorreu</t>
  </si>
  <si>
    <t xml:space="preserve">Ocorreu?</t>
  </si>
  <si>
    <t xml:space="preserve">R-01</t>
  </si>
  <si>
    <t xml:space="preserve">Indisponibilidade do ambiente de homologação AASP, impedindo validação de endpoints</t>
  </si>
  <si>
    <t xml:space="preserve">Externo</t>
  </si>
  <si>
    <t xml:space="preserve">Agendamento prévio de janelas de homologação com Renata Souza; fallback: ambiente local via ngrok</t>
  </si>
  <si>
    <t xml:space="preserve">Não</t>
  </si>
  <si>
    <t xml:space="preserve">🟡 Monitorando</t>
  </si>
  <si>
    <t xml:space="preserve">Risco recorrente em projetos com cliente</t>
  </si>
  <si>
    <t xml:space="preserve">R-02</t>
  </si>
  <si>
    <t xml:space="preserve">Schema do banco auxo3 com inconsistências legadas que impeçam migração das novas tabelas de grupos</t>
  </si>
  <si>
    <t xml:space="preserve">Técnico</t>
  </si>
  <si>
    <t xml:space="preserve">Análise prévia do schema realizada no Kickoff; scripts de migration com rollback; DBA validou estrutura em 19/05/2026</t>
  </si>
  <si>
    <t xml:space="preserve">🟢 Mitigado</t>
  </si>
  <si>
    <t xml:space="preserve">Migration validada no Sprint 1</t>
  </si>
  <si>
    <t xml:space="preserve">R-03</t>
  </si>
  <si>
    <t xml:space="preserve">Alteração de escopo pelo PO (Marcos Ferreira) após Sprint 1 aprovado</t>
  </si>
  <si>
    <t xml:space="preserve">Escopo</t>
  </si>
  <si>
    <t xml:space="preserve">Escopo congelado após TAP assinado; qualquer mudança passa por CR formal</t>
  </si>
  <si>
    <t xml:space="preserve">🟢 Controlado</t>
  </si>
  <si>
    <t xml:space="preserve">Zero CRs até 15/06/2026</t>
  </si>
  <si>
    <t xml:space="preserve">R-04</t>
  </si>
  <si>
    <t xml:space="preserve">Falha na integração com ms.temis.vinculos — quebra de contrato de API ou incompatibilidade de dados</t>
  </si>
  <si>
    <t xml:space="preserve">Contrato de API definido em ITP-AASP01-001; testes de integração planejados para Sprint 2; versionamento de API</t>
  </si>
  <si>
    <t xml:space="preserve">Parcialmente — dificuldade no mapeamento de tipos</t>
  </si>
  <si>
    <t xml:space="preserve">🟡 Em tratamento</t>
  </si>
  <si>
    <t xml:space="preserve">AG-24 em andamento na Sprint 2</t>
  </si>
  <si>
    <t xml:space="preserve">R-05</t>
  </si>
  <si>
    <t xml:space="preserve">Atraso na disponibilidade de Henry Komatsu (único dev pleno)</t>
  </si>
  <si>
    <t xml:space="preserve">Recurso</t>
  </si>
  <si>
    <t xml:space="preserve">Documentação técnica mantida atualizada; pair programming com Bruno Almeida para transferência de conhecimento</t>
  </si>
  <si>
    <t xml:space="preserve">Contingência: Bruno assume atividades menores</t>
  </si>
  <si>
    <t xml:space="preserve">CHANGE REQUESTS — REGISTRO CONSOLIDADO</t>
  </si>
  <si>
    <t xml:space="preserve">Referência: CR-AASP01-001  |  Nenhum CR registrado até 15/06/2026</t>
  </si>
  <si>
    <t xml:space="preserve">REGISTRO DE CHANGE REQUESTS</t>
  </si>
  <si>
    <t xml:space="preserve">Fase / Sprints</t>
  </si>
  <si>
    <t xml:space="preserve">Escopo afetado</t>
  </si>
  <si>
    <t xml:space="preserve">Impacto no prazo</t>
  </si>
  <si>
    <t xml:space="preserve">Aprovado por</t>
  </si>
  <si>
    <t xml:space="preserve">Impacto qualitativo</t>
  </si>
  <si>
    <t xml:space="preserve">✅  Nenhum Change Request registrado até a data desta planilha (15/06/2026). Escopo estável conforme TAP-AASP01-001.</t>
  </si>
  <si>
    <t xml:space="preserve">REGISTRO DE MEDIÇÃO DO PROJETO</t>
  </si>
  <si>
    <t xml:space="preserve">Referência: MED-AASP01-001 · PLA-MED-001 (catálogo organizacional de medidas)</t>
  </si>
  <si>
    <t xml:space="preserve">INDICADORES DO PROJETO — STATUS EM 15/06/2026</t>
  </si>
  <si>
    <t xml:space="preserve">Código</t>
  </si>
  <si>
    <t xml:space="preserve">Indicador</t>
  </si>
  <si>
    <t xml:space="preserve">Resultado / Valor atual</t>
  </si>
  <si>
    <t xml:space="preserve">Meta Org.</t>
  </si>
  <si>
    <t xml:space="preserve">Tendência</t>
  </si>
  <si>
    <t xml:space="preserve">Referência</t>
  </si>
  <si>
    <t xml:space="preserve">M1</t>
  </si>
  <si>
    <t xml:space="preserve">% Entregas no prazo (sprints concluídas)</t>
  </si>
  <si>
    <t xml:space="preserve">100% — Sprint 1 entregue e aceita na data prevista (06/06/2026)</t>
  </si>
  <si>
    <t xml:space="preserve">≥ 90%</t>
  </si>
  <si>
    <t xml:space="preserve">→ Estável</t>
  </si>
  <si>
    <t xml:space="preserve">RAC-AASP01-001</t>
  </si>
  <si>
    <t xml:space="preserve">M2</t>
  </si>
  <si>
    <t xml:space="preserve">Desvio de esforço (SP planejado × realizado)</t>
  </si>
  <si>
    <t xml:space="preserve">Sprint 1: 34 SP plan. × 34 SP real. = 0% de desvio</t>
  </si>
  <si>
    <t xml:space="preserve">≤ 10%</t>
  </si>
  <si>
    <t xml:space="preserve">M3</t>
  </si>
  <si>
    <t xml:space="preserve">Índice de defeitos por SP (Sprint 1)</t>
  </si>
  <si>
    <t xml:space="preserve">3 achados / 34 SP = 0,088 def/SP — todos resolvidos (P2/P3)</t>
  </si>
  <si>
    <t xml:space="preserve">≤ 0,20 def/SP</t>
  </si>
  <si>
    <t xml:space="preserve">↘ Melhoria</t>
  </si>
  <si>
    <t xml:space="preserve">REV-AASP01-001</t>
  </si>
  <si>
    <t xml:space="preserve">M4</t>
  </si>
  <si>
    <t xml:space="preserve">Taxa de cobertura de testes unitários</t>
  </si>
  <si>
    <t xml:space="preserve">Sprint 1: 85% (estimado — 22 de 26 métodos testados)</t>
  </si>
  <si>
    <t xml:space="preserve">≥ 80%</t>
  </si>
  <si>
    <t xml:space="preserve">REL-VV-AASP01-001</t>
  </si>
  <si>
    <t xml:space="preserve">M5</t>
  </si>
  <si>
    <t xml:space="preserve">Taxa de aprovação de cenários de aceite (Sprint 1)</t>
  </si>
  <si>
    <t xml:space="preserve">100% — 10 cenários executados e aprovados (CTQ-AASP01-001)</t>
  </si>
  <si>
    <t xml:space="preserve">≥ 95%</t>
  </si>
  <si>
    <t xml:space="preserve">CTQ-AASP01-001</t>
  </si>
  <si>
    <t xml:space="preserve">M6</t>
  </si>
  <si>
    <t xml:space="preserve">Tempo médio de resposta da API (ms)</t>
  </si>
  <si>
    <t xml:space="preserve">≤ 280 ms (medido em ambiente de dev; Swagger validado)</t>
  </si>
  <si>
    <t xml:space="preserve">≤ 500 ms</t>
  </si>
  <si>
    <t xml:space="preserve">ev-gerenciador-swagger</t>
  </si>
  <si>
    <t xml:space="preserve">M7</t>
  </si>
  <si>
    <t xml:space="preserve">% Requisitos rastreados (RASTR)</t>
  </si>
  <si>
    <t xml:space="preserve">100% — AG-20 a AG-25 rastreados de requisito a caso de teste</t>
  </si>
  <si>
    <t xml:space="preserve">100%</t>
  </si>
  <si>
    <t xml:space="preserve">RASTR-AASP01-001</t>
  </si>
  <si>
    <t xml:space="preserve">M8</t>
  </si>
  <si>
    <t xml:space="preserve">Satisfação do cliente (aceite formal Sprint 1)</t>
  </si>
  <si>
    <t xml:space="preserve">Aceite formal concedido sem ressalvas por Marcos Ferreira</t>
  </si>
  <si>
    <t xml:space="preserve">Aceite formal</t>
  </si>
  <si>
    <t xml:space="preserve">✅ Obtido</t>
  </si>
  <si>
    <t xml:space="preserve">→ Positivo</t>
  </si>
  <si>
    <t xml:space="preserve">ATA-AASP01-002</t>
  </si>
  <si>
    <t xml:space="preserve">GARANTIA DA QUALIDADE — REGISTRO DE AUDITORIA</t>
  </si>
  <si>
    <t xml:space="preserve">Referência: GQA-AASP01-001 (a ser gerado) · Auditor: Responsável pela Qualidade — independente da equipe de projeto</t>
  </si>
  <si>
    <t xml:space="preserve">Auditor</t>
  </si>
  <si>
    <t xml:space="preserve">A definir (COO / Responsável pela Qualidade Timeware)</t>
  </si>
  <si>
    <t xml:space="preserve">Independência</t>
  </si>
  <si>
    <t xml:space="preserve">Sim — auditor não participa da execução do projeto</t>
  </si>
  <si>
    <t xml:space="preserve">Referência estratégia</t>
  </si>
  <si>
    <t xml:space="preserve">EST-GPC-001 — Estratégia de Garantia da Qualidade Timeware</t>
  </si>
  <si>
    <t xml:space="preserve">⏳ Auditorias agendadas para Sprint 3 e encerramento (Sprint 4)</t>
  </si>
  <si>
    <t xml:space="preserve">AUDITORIAS PLANEJADAS</t>
  </si>
  <si>
    <t xml:space="preserve">ID Auditoria</t>
  </si>
  <si>
    <t xml:space="preserve">Sprint alvo</t>
  </si>
  <si>
    <t xml:space="preserve">Achados</t>
  </si>
  <si>
    <t xml:space="preserve">Resultado</t>
  </si>
  <si>
    <t xml:space="preserve">GQA-P01</t>
  </si>
  <si>
    <t xml:space="preserve">Verificação de aderência ao processo — entregáveis Sprint 1 e 2 (TAP, REQ, PLA, ATA, RAC, REV)</t>
  </si>
  <si>
    <t xml:space="preserve">25/06/2026</t>
  </si>
  <si>
    <t xml:space="preserve">Resp. Qualidade Timeware</t>
  </si>
  <si>
    <t xml:space="preserve">GQA-P02</t>
  </si>
  <si>
    <t xml:space="preserve">Auditoria final de encerramento — todos os registros MPS-C; GQA-AASP01-001</t>
  </si>
  <si>
    <t xml:space="preserve">10/07/2026</t>
  </si>
  <si>
    <t xml:space="preserve">ℹ️  GQA é documento de encerramento — auditorias serão executadas nas Sprints 3 e 4. Registros serão consolidados em GQA-AASP01-001.</t>
  </si>
  <si>
    <t xml:space="preserve">V&amp;V — CENÁRIOS DE TESTE · GRUPOS DE USUÁRIOS · AASP GERENCIADOR</t>
  </si>
  <si>
    <t xml:space="preserve">Fonte: CTQ-AASP01-001 · REL-VV-AASP01-001 · VV-AASP01-001  |  10 cenários Sprint 1 (✅); Sprint 2–4 a executar</t>
  </si>
  <si>
    <t xml:space="preserve">CENÁRIOS DE TESTE — SPRINT 1 (AG-20, AG-21, AG-22)</t>
  </si>
  <si>
    <t xml:space="preserve">Funcionalidade</t>
  </si>
  <si>
    <t xml:space="preserve">#</t>
  </si>
  <si>
    <t xml:space="preserve">Cenário</t>
  </si>
  <si>
    <t xml:space="preserve">Dado (Given)</t>
  </si>
  <si>
    <t xml:space="preserve">Quando (When)</t>
  </si>
  <si>
    <t xml:space="preserve">Então / E (Then/And)</t>
  </si>
  <si>
    <t xml:space="preserve">Status Sprint 1</t>
  </si>
  <si>
    <t xml:space="preserve">AG-20
CRUD Grupos</t>
  </si>
  <si>
    <t xml:space="preserve">GRP-01</t>
  </si>
  <si>
    <t xml:space="preserve">Criar grupo com dados válidos — happy path</t>
  </si>
  <si>
    <t xml:space="preserve">Happy</t>
  </si>
  <si>
    <t xml:space="preserve">usuário autenticado com permissão de administrador</t>
  </si>
  <si>
    <t xml:space="preserve">envia POST /grupos com nome e descrição válidos</t>
  </si>
  <si>
    <t xml:space="preserve">grupo criado com id gerado
E status 201 retornado</t>
  </si>
  <si>
    <t xml:space="preserve">✅ OK</t>
  </si>
  <si>
    <t xml:space="preserve">Coberto por 3 testes unitários</t>
  </si>
  <si>
    <t xml:space="preserve">GRP-02</t>
  </si>
  <si>
    <t xml:space="preserve">Listar todos os grupos ativos — happy path</t>
  </si>
  <si>
    <t xml:space="preserve">existem grupos cadastrados no banco auxo3</t>
  </si>
  <si>
    <t xml:space="preserve">envia GET /grupos</t>
  </si>
  <si>
    <t xml:space="preserve">retorna lista de grupos com id, nome, status
E status 200</t>
  </si>
  <si>
    <t xml:space="preserve">GRP-03</t>
  </si>
  <si>
    <t xml:space="preserve">Atualizar nome do grupo — happy path</t>
  </si>
  <si>
    <t xml:space="preserve">grupo com id 5 existe e está ativo</t>
  </si>
  <si>
    <t xml:space="preserve">envia PUT /grupos/5 com novo nome</t>
  </si>
  <si>
    <t xml:space="preserve">grupo atualizado
E status 200 retornado</t>
  </si>
  <si>
    <t xml:space="preserve">GRP-04</t>
  </si>
  <si>
    <t xml:space="preserve">Exclusão lógica (soft delete) de grupo — happy path</t>
  </si>
  <si>
    <t xml:space="preserve">grupo com id 7 existe e não possui usuários vinculados</t>
  </si>
  <si>
    <t xml:space="preserve">envia DELETE /grupos/7</t>
  </si>
  <si>
    <t xml:space="preserve">campo ativo = false no banco
E status 204 retornado
E grupo não aparece em GET /grupos</t>
  </si>
  <si>
    <t xml:space="preserve">Soft delete validado no banco</t>
  </si>
  <si>
    <t xml:space="preserve">GRP-05</t>
  </si>
  <si>
    <t xml:space="preserve">Tentar criar grupo com nome duplicado — sad path</t>
  </si>
  <si>
    <t xml:space="preserve">Sad</t>
  </si>
  <si>
    <t xml:space="preserve">grupo com nome 'Administradores' já existe</t>
  </si>
  <si>
    <t xml:space="preserve">envia POST /grupos com nome 'Administradores'</t>
  </si>
  <si>
    <t xml:space="preserve">status 409 retornado
E mensagem 'Nome de grupo já existe'</t>
  </si>
  <si>
    <t xml:space="preserve">Validação de unicidade</t>
  </si>
  <si>
    <t xml:space="preserve">AG-21
Permissões</t>
  </si>
  <si>
    <t xml:space="preserve">PERM-01</t>
  </si>
  <si>
    <t xml:space="preserve">Associar permissões válidas a grupo — happy path</t>
  </si>
  <si>
    <t xml:space="preserve">grupo id 3 existe
E permissões ['leitura','escrita'] são válidas</t>
  </si>
  <si>
    <t xml:space="preserve">envia PUT /grupos/3/permissoes com lista de permissões</t>
  </si>
  <si>
    <t xml:space="preserve">permissões associadas ao grupo
E status 200 retornado</t>
  </si>
  <si>
    <t xml:space="preserve">PERM-02</t>
  </si>
  <si>
    <t xml:space="preserve">Tentar associar permissão inexistente — sad path</t>
  </si>
  <si>
    <t xml:space="preserve">grupo id 3 existe</t>
  </si>
  <si>
    <t xml:space="preserve">envia PUT /grupos/3/permissoes com permissão 'superadmin' inválida</t>
  </si>
  <si>
    <t xml:space="preserve">status 400 retornado
E mensagem de validação de permissão inválida</t>
  </si>
  <si>
    <t xml:space="preserve">Validação de enum</t>
  </si>
  <si>
    <t xml:space="preserve">AG-22
Vínculos</t>
  </si>
  <si>
    <t xml:space="preserve">VINC-01</t>
  </si>
  <si>
    <t xml:space="preserve">Vincular usuário a grupo — happy path</t>
  </si>
  <si>
    <t xml:space="preserve">usuário id 42 existe
E grupo id 3 existe e está ativo</t>
  </si>
  <si>
    <t xml:space="preserve">envia POST /grupos/3/usuarios com { 'usuarioId': 42 }</t>
  </si>
  <si>
    <t xml:space="preserve">vínculo criado
E status 201 retornado</t>
  </si>
  <si>
    <t xml:space="preserve">VINC-02</t>
  </si>
  <si>
    <t xml:space="preserve">Desvincular usuário de grupo — happy path</t>
  </si>
  <si>
    <t xml:space="preserve">usuário id 42 está vinculado ao grupo id 3</t>
  </si>
  <si>
    <t xml:space="preserve">envia DELETE /grupos/3/usuarios/42</t>
  </si>
  <si>
    <t xml:space="preserve">vínculo removido
E status 204 retornado
E usuário não aparece em GET /grupos/3/usuarios</t>
  </si>
  <si>
    <t xml:space="preserve">VINC-03</t>
  </si>
  <si>
    <t xml:space="preserve">Tentar vincular usuário inexistente — sad path</t>
  </si>
  <si>
    <t xml:space="preserve">grupo id 3 existe
E usuário id 999 não existe no banco</t>
  </si>
  <si>
    <t xml:space="preserve">envia POST /grupos/3/usuarios com { 'usuarioId': 999 }</t>
  </si>
  <si>
    <t xml:space="preserve">status 404 retornado
E mensagem 'Usuário não encontrado'</t>
  </si>
  <si>
    <t xml:space="preserve">FK validada no Dapper</t>
  </si>
  <si>
    <t xml:space="preserve">CENÁRIOS DE TESTE — SPRINT 2+ (AG-23, AG-24, AG-25) — A EXECUTAR</t>
  </si>
  <si>
    <t xml:space="preserve">AG-23
Auditoria</t>
  </si>
  <si>
    <t xml:space="preserve">AUD-01</t>
  </si>
  <si>
    <t xml:space="preserve">Registrar log ao criar grupo — happy path</t>
  </si>
  <si>
    <t xml:space="preserve">grupo criado com sucesso via POST /grupos</t>
  </si>
  <si>
    <t xml:space="preserve">operação é concluída</t>
  </si>
  <si>
    <t xml:space="preserve">registro inserido em AuditoriaGrupos com usuário, timestamp e ação='CREATE'</t>
  </si>
  <si>
    <t xml:space="preserve">⏳ Sprint 2</t>
  </si>
  <si>
    <t xml:space="preserve">AG-24
Integração</t>
  </si>
  <si>
    <t xml:space="preserve">INT-01</t>
  </si>
  <si>
    <t xml:space="preserve">Sincronizar vínculo com ms.temis.vinculos — happy path</t>
  </si>
  <si>
    <t xml:space="preserve">usuário vinculado a grupo em auxo3</t>
  </si>
  <si>
    <t xml:space="preserve">sistema processa sincronização</t>
  </si>
  <si>
    <t xml:space="preserve">vínculo replicado em temis3 via HTTP
E status de sincronização = 'OK'</t>
  </si>
  <si>
    <t xml:space="preserve">AG-25
Relatórios</t>
  </si>
  <si>
    <t xml:space="preserve">REL-01</t>
  </si>
  <si>
    <t xml:space="preserve">Listar grupos com usuários e permissões — happy path</t>
  </si>
  <si>
    <t xml:space="preserve">existem grupos com usuários e permissões cadastrados</t>
  </si>
  <si>
    <t xml:space="preserve">envia GET /grupos/relatorio</t>
  </si>
  <si>
    <t xml:space="preserve">retorna lista consolidada com grupos, membros e permissões
E status 200</t>
  </si>
  <si>
    <t xml:space="preserve">📅 Sprint 3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</si>
</sst>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9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60"/>
    <col collapsed="false" customWidth="true" hidden="false" outlineLevel="0" max="8" min="3" style="1" width="12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3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.75" hidden="false" customHeight="true" outlineLevel="0" collapsed="false">
      <c r="A5" s="5" t="s">
        <v>3</v>
      </c>
      <c r="B5" s="6" t="s">
        <v>4</v>
      </c>
      <c r="C5" s="6"/>
      <c r="D5" s="6"/>
      <c r="E5" s="6"/>
      <c r="F5" s="6"/>
      <c r="G5" s="6"/>
      <c r="H5" s="6"/>
    </row>
    <row r="6" customFormat="false" ht="15.75" hidden="false" customHeight="true" outlineLevel="0" collapsed="false">
      <c r="A6" s="5" t="s">
        <v>5</v>
      </c>
      <c r="B6" s="6" t="s">
        <v>6</v>
      </c>
      <c r="C6" s="6"/>
      <c r="D6" s="6"/>
      <c r="E6" s="6"/>
      <c r="F6" s="6"/>
      <c r="G6" s="6"/>
      <c r="H6" s="6"/>
    </row>
    <row r="7" customFormat="false" ht="15.75" hidden="false" customHeight="true" outlineLevel="0" collapsed="false">
      <c r="A7" s="5" t="s">
        <v>7</v>
      </c>
      <c r="B7" s="6" t="s">
        <v>8</v>
      </c>
      <c r="C7" s="6"/>
      <c r="D7" s="6"/>
      <c r="E7" s="6"/>
      <c r="F7" s="6"/>
      <c r="G7" s="6"/>
      <c r="H7" s="6"/>
    </row>
    <row r="8" customFormat="false" ht="15.75" hidden="false" customHeight="true" outlineLevel="0" collapsed="false">
      <c r="A8" s="5" t="s">
        <v>9</v>
      </c>
      <c r="B8" s="6" t="s">
        <v>10</v>
      </c>
      <c r="C8" s="6"/>
      <c r="D8" s="6"/>
      <c r="E8" s="6"/>
      <c r="F8" s="6"/>
      <c r="G8" s="6"/>
      <c r="H8" s="6"/>
    </row>
    <row r="9" customFormat="false" ht="15.75" hidden="false" customHeight="true" outlineLevel="0" collapsed="false">
      <c r="A9" s="5" t="s">
        <v>11</v>
      </c>
      <c r="B9" s="6" t="s">
        <v>12</v>
      </c>
      <c r="C9" s="6"/>
      <c r="D9" s="6"/>
      <c r="E9" s="6"/>
      <c r="F9" s="6"/>
      <c r="G9" s="6"/>
      <c r="H9" s="6"/>
    </row>
    <row r="10" customFormat="false" ht="15.75" hidden="false" customHeight="true" outlineLevel="0" collapsed="false">
      <c r="A10" s="5" t="s">
        <v>13</v>
      </c>
      <c r="B10" s="6" t="s">
        <v>14</v>
      </c>
      <c r="C10" s="6"/>
      <c r="D10" s="6"/>
      <c r="E10" s="6"/>
      <c r="F10" s="6"/>
      <c r="G10" s="6"/>
      <c r="H10" s="6"/>
    </row>
    <row r="11" customFormat="false" ht="15.75" hidden="false" customHeight="true" outlineLevel="0" collapsed="false">
      <c r="A11" s="5" t="s">
        <v>15</v>
      </c>
      <c r="B11" s="6" t="s">
        <v>16</v>
      </c>
      <c r="C11" s="6"/>
      <c r="D11" s="6"/>
      <c r="E11" s="6"/>
      <c r="F11" s="6"/>
      <c r="G11" s="6"/>
      <c r="H11" s="6"/>
    </row>
    <row r="13" customFormat="false" ht="15" hidden="false" customHeight="true" outlineLevel="0" collapsed="false">
      <c r="A13" s="4" t="s">
        <v>17</v>
      </c>
      <c r="B13" s="4"/>
      <c r="C13" s="4"/>
      <c r="D13" s="4"/>
      <c r="E13" s="4"/>
      <c r="F13" s="4"/>
      <c r="G13" s="4"/>
      <c r="H13" s="4"/>
    </row>
    <row r="14" customFormat="false" ht="15" hidden="false" customHeight="true" outlineLevel="0" collapsed="false">
      <c r="A14" s="5" t="s">
        <v>18</v>
      </c>
      <c r="B14" s="7" t="s">
        <v>19</v>
      </c>
      <c r="C14" s="7"/>
      <c r="D14" s="7"/>
      <c r="E14" s="7"/>
      <c r="F14" s="7"/>
      <c r="G14" s="7"/>
      <c r="H14" s="7"/>
    </row>
    <row r="15" customFormat="false" ht="15" hidden="false" customHeight="true" outlineLevel="0" collapsed="false">
      <c r="A15" s="5" t="s">
        <v>20</v>
      </c>
      <c r="B15" s="7" t="s">
        <v>21</v>
      </c>
      <c r="C15" s="7"/>
      <c r="D15" s="7"/>
      <c r="E15" s="7"/>
      <c r="F15" s="7"/>
      <c r="G15" s="7"/>
      <c r="H15" s="7"/>
    </row>
    <row r="16" customFormat="false" ht="15" hidden="false" customHeight="true" outlineLevel="0" collapsed="false">
      <c r="A16" s="5" t="s">
        <v>22</v>
      </c>
      <c r="B16" s="7" t="s">
        <v>23</v>
      </c>
      <c r="C16" s="7"/>
      <c r="D16" s="7"/>
      <c r="E16" s="7"/>
      <c r="F16" s="7"/>
      <c r="G16" s="7"/>
      <c r="H16" s="7"/>
    </row>
    <row r="18" customFormat="false" ht="15" hidden="false" customHeight="true" outlineLevel="0" collapsed="false">
      <c r="A18" s="4" t="s">
        <v>24</v>
      </c>
      <c r="B18" s="4"/>
      <c r="C18" s="4"/>
      <c r="D18" s="4"/>
      <c r="E18" s="4"/>
      <c r="F18" s="4"/>
      <c r="G18" s="4"/>
      <c r="H18" s="4"/>
    </row>
    <row r="19" customFormat="false" ht="15" hidden="false" customHeight="true" outlineLevel="0" collapsed="false">
      <c r="A19" s="5" t="s">
        <v>25</v>
      </c>
      <c r="B19" s="7" t="s">
        <v>26</v>
      </c>
      <c r="C19" s="7"/>
      <c r="D19" s="7"/>
      <c r="E19" s="7"/>
      <c r="F19" s="7"/>
      <c r="G19" s="7"/>
      <c r="H19" s="7"/>
    </row>
    <row r="20" customFormat="false" ht="15" hidden="false" customHeight="true" outlineLevel="0" collapsed="false">
      <c r="A20" s="5" t="s">
        <v>27</v>
      </c>
      <c r="B20" s="7" t="s">
        <v>28</v>
      </c>
      <c r="C20" s="7"/>
      <c r="D20" s="7"/>
      <c r="E20" s="7"/>
      <c r="F20" s="7"/>
      <c r="G20" s="7"/>
      <c r="H20" s="7"/>
    </row>
    <row r="21" customFormat="false" ht="15" hidden="false" customHeight="true" outlineLevel="0" collapsed="false">
      <c r="A21" s="5" t="s">
        <v>29</v>
      </c>
      <c r="B21" s="7" t="s">
        <v>30</v>
      </c>
      <c r="C21" s="7"/>
      <c r="D21" s="7"/>
      <c r="E21" s="7"/>
      <c r="F21" s="7"/>
      <c r="G21" s="7"/>
      <c r="H21" s="7"/>
    </row>
    <row r="23" customFormat="false" ht="15" hidden="false" customHeight="true" outlineLevel="0" collapsed="false">
      <c r="A23" s="4" t="s">
        <v>31</v>
      </c>
      <c r="B23" s="4"/>
      <c r="C23" s="4"/>
      <c r="D23" s="4"/>
      <c r="E23" s="4"/>
      <c r="F23" s="4"/>
      <c r="G23" s="4"/>
      <c r="H23" s="4"/>
    </row>
    <row r="24" customFormat="false" ht="15" hidden="false" customHeight="true" outlineLevel="0" collapsed="false">
      <c r="A24" s="5" t="s">
        <v>32</v>
      </c>
      <c r="B24" s="7" t="s">
        <v>33</v>
      </c>
      <c r="C24" s="7"/>
      <c r="D24" s="7"/>
      <c r="E24" s="7"/>
      <c r="F24" s="7"/>
      <c r="G24" s="7"/>
      <c r="H24" s="7"/>
    </row>
    <row r="25" customFormat="false" ht="15" hidden="false" customHeight="true" outlineLevel="0" collapsed="false">
      <c r="A25" s="5" t="s">
        <v>34</v>
      </c>
      <c r="B25" s="7" t="s">
        <v>35</v>
      </c>
      <c r="C25" s="7"/>
      <c r="D25" s="7"/>
      <c r="E25" s="7"/>
      <c r="F25" s="7"/>
      <c r="G25" s="7"/>
      <c r="H25" s="7"/>
    </row>
    <row r="26" customFormat="false" ht="15" hidden="false" customHeight="true" outlineLevel="0" collapsed="false">
      <c r="A26" s="5" t="s">
        <v>36</v>
      </c>
      <c r="B26" s="7" t="s">
        <v>37</v>
      </c>
      <c r="C26" s="7"/>
      <c r="D26" s="7"/>
      <c r="E26" s="7"/>
      <c r="F26" s="7"/>
      <c r="G26" s="7"/>
      <c r="H26" s="7"/>
    </row>
    <row r="27" customFormat="false" ht="15" hidden="false" customHeight="true" outlineLevel="0" collapsed="false">
      <c r="A27" s="5" t="s">
        <v>38</v>
      </c>
      <c r="B27" s="7" t="s">
        <v>39</v>
      </c>
      <c r="C27" s="7"/>
      <c r="D27" s="7"/>
      <c r="E27" s="7"/>
      <c r="F27" s="7"/>
      <c r="G27" s="7"/>
      <c r="H27" s="7"/>
    </row>
    <row r="28" customFormat="false" ht="15" hidden="false" customHeight="true" outlineLevel="0" collapsed="false">
      <c r="A28" s="5" t="s">
        <v>40</v>
      </c>
      <c r="B28" s="7" t="s">
        <v>41</v>
      </c>
      <c r="C28" s="7"/>
      <c r="D28" s="7"/>
      <c r="E28" s="7"/>
      <c r="F28" s="7"/>
      <c r="G28" s="7"/>
      <c r="H28" s="7"/>
    </row>
    <row r="29" customFormat="false" ht="15" hidden="false" customHeight="true" outlineLevel="0" collapsed="false">
      <c r="A29" s="5" t="s">
        <v>42</v>
      </c>
      <c r="B29" s="7" t="s">
        <v>43</v>
      </c>
      <c r="C29" s="7"/>
      <c r="D29" s="7"/>
      <c r="E29" s="7"/>
      <c r="F29" s="7"/>
      <c r="G29" s="7"/>
      <c r="H29" s="7"/>
    </row>
  </sheetData>
  <mergeCells count="25">
    <mergeCell ref="A1:H1"/>
    <mergeCell ref="A2:H2"/>
    <mergeCell ref="A4:H4"/>
    <mergeCell ref="B5:H5"/>
    <mergeCell ref="B6:H6"/>
    <mergeCell ref="B7:H7"/>
    <mergeCell ref="B8:H8"/>
    <mergeCell ref="B9:H9"/>
    <mergeCell ref="B10:H10"/>
    <mergeCell ref="B11:H11"/>
    <mergeCell ref="A13:H13"/>
    <mergeCell ref="B14:H14"/>
    <mergeCell ref="B15:H15"/>
    <mergeCell ref="B16:H16"/>
    <mergeCell ref="A18:H18"/>
    <mergeCell ref="B19:H19"/>
    <mergeCell ref="B20:H20"/>
    <mergeCell ref="B21:H21"/>
    <mergeCell ref="A23:H23"/>
    <mergeCell ref="B24:H24"/>
    <mergeCell ref="B25:H25"/>
    <mergeCell ref="B26:H26"/>
    <mergeCell ref="B27:H27"/>
    <mergeCell ref="B28:H28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7"/>
    <col collapsed="false" customWidth="true" hidden="false" outlineLevel="0" max="6" min="6" style="1" width="52"/>
    <col collapsed="false" customWidth="true" hidden="false" outlineLevel="0" max="7" min="7" style="1" width="18"/>
    <col collapsed="false" customWidth="true" hidden="false" outlineLevel="0" max="8" min="8" style="1" width="30"/>
  </cols>
  <sheetData>
    <row r="1" customFormat="false" ht="21.75" hidden="false" customHeight="true" outlineLevel="0" collapsed="false">
      <c r="A1" s="2" t="s">
        <v>44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45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46</v>
      </c>
      <c r="B4" s="4"/>
      <c r="C4" s="4"/>
      <c r="D4" s="4"/>
      <c r="E4" s="4"/>
      <c r="F4" s="4"/>
      <c r="G4" s="4"/>
      <c r="H4" s="4"/>
    </row>
    <row r="5" customFormat="false" ht="15.75" hidden="false" customHeight="true" outlineLevel="0" collapsed="false">
      <c r="A5" s="8" t="s">
        <v>47</v>
      </c>
      <c r="B5" s="8" t="s">
        <v>48</v>
      </c>
      <c r="C5" s="8" t="s">
        <v>49</v>
      </c>
      <c r="D5" s="8" t="s">
        <v>50</v>
      </c>
      <c r="E5" s="8" t="s">
        <v>51</v>
      </c>
      <c r="F5" s="8" t="s">
        <v>52</v>
      </c>
      <c r="G5" s="8" t="s">
        <v>53</v>
      </c>
      <c r="H5" s="8" t="s">
        <v>54</v>
      </c>
    </row>
    <row r="6" customFormat="false" ht="15.75" hidden="false" customHeight="true" outlineLevel="0" collapsed="false">
      <c r="A6" s="9" t="s">
        <v>55</v>
      </c>
      <c r="B6" s="9" t="s">
        <v>26</v>
      </c>
      <c r="C6" s="9" t="s">
        <v>26</v>
      </c>
      <c r="D6" s="9" t="s">
        <v>56</v>
      </c>
      <c r="E6" s="9" t="s">
        <v>57</v>
      </c>
      <c r="F6" s="9" t="s">
        <v>58</v>
      </c>
      <c r="G6" s="9" t="s">
        <v>59</v>
      </c>
      <c r="H6" s="9" t="s">
        <v>60</v>
      </c>
    </row>
    <row r="8" customFormat="false" ht="15" hidden="false" customHeight="true" outlineLevel="0" collapsed="false">
      <c r="A8" s="4" t="s">
        <v>61</v>
      </c>
      <c r="B8" s="4"/>
      <c r="C8" s="4"/>
      <c r="D8" s="4"/>
      <c r="E8" s="4"/>
      <c r="F8" s="4"/>
      <c r="G8" s="4"/>
      <c r="H8" s="4"/>
    </row>
    <row r="9" customFormat="false" ht="15.75" hidden="false" customHeight="true" outlineLevel="0" collapsed="false">
      <c r="A9" s="8" t="s">
        <v>47</v>
      </c>
      <c r="B9" s="8" t="s">
        <v>48</v>
      </c>
      <c r="C9" s="8" t="s">
        <v>49</v>
      </c>
      <c r="D9" s="8" t="s">
        <v>50</v>
      </c>
      <c r="E9" s="8" t="s">
        <v>51</v>
      </c>
      <c r="F9" s="8" t="s">
        <v>52</v>
      </c>
      <c r="G9" s="8" t="s">
        <v>53</v>
      </c>
      <c r="H9" s="8" t="s">
        <v>54</v>
      </c>
    </row>
    <row r="10" customFormat="false" ht="27.75" hidden="false" customHeight="true" outlineLevel="0" collapsed="false">
      <c r="A10" s="10" t="s">
        <v>62</v>
      </c>
      <c r="B10" s="10" t="s">
        <v>63</v>
      </c>
      <c r="C10" s="10" t="s">
        <v>64</v>
      </c>
      <c r="D10" s="10" t="s">
        <v>65</v>
      </c>
      <c r="E10" s="10" t="n">
        <v>34</v>
      </c>
      <c r="F10" s="10" t="s">
        <v>66</v>
      </c>
      <c r="G10" s="10" t="s">
        <v>59</v>
      </c>
      <c r="H10" s="10" t="s">
        <v>67</v>
      </c>
    </row>
    <row r="11" customFormat="false" ht="27.75" hidden="false" customHeight="true" outlineLevel="0" collapsed="false">
      <c r="A11" s="11" t="s">
        <v>68</v>
      </c>
      <c r="B11" s="11" t="s">
        <v>69</v>
      </c>
      <c r="C11" s="11" t="s">
        <v>70</v>
      </c>
      <c r="D11" s="11" t="s">
        <v>65</v>
      </c>
      <c r="E11" s="11" t="n">
        <v>28</v>
      </c>
      <c r="F11" s="11" t="s">
        <v>71</v>
      </c>
      <c r="G11" s="11" t="s">
        <v>72</v>
      </c>
      <c r="H11" s="11" t="s">
        <v>73</v>
      </c>
    </row>
    <row r="12" customFormat="false" ht="27.75" hidden="false" customHeight="true" outlineLevel="0" collapsed="false">
      <c r="A12" s="9" t="s">
        <v>74</v>
      </c>
      <c r="B12" s="9" t="s">
        <v>75</v>
      </c>
      <c r="C12" s="9" t="s">
        <v>76</v>
      </c>
      <c r="D12" s="9" t="s">
        <v>65</v>
      </c>
      <c r="E12" s="9" t="n">
        <v>20</v>
      </c>
      <c r="F12" s="9" t="s">
        <v>77</v>
      </c>
      <c r="G12" s="9" t="s">
        <v>78</v>
      </c>
      <c r="H12" s="9"/>
    </row>
    <row r="13" customFormat="false" ht="27.75" hidden="false" customHeight="true" outlineLevel="0" collapsed="false">
      <c r="A13" s="9" t="s">
        <v>79</v>
      </c>
      <c r="B13" s="9" t="s">
        <v>80</v>
      </c>
      <c r="C13" s="9" t="s">
        <v>28</v>
      </c>
      <c r="D13" s="9" t="s">
        <v>81</v>
      </c>
      <c r="E13" s="9" t="n">
        <v>8</v>
      </c>
      <c r="F13" s="9" t="s">
        <v>82</v>
      </c>
      <c r="G13" s="9" t="s">
        <v>78</v>
      </c>
      <c r="H13" s="9" t="s">
        <v>83</v>
      </c>
    </row>
    <row r="15" customFormat="false" ht="15" hidden="false" customHeight="true" outlineLevel="0" collapsed="false">
      <c r="A15" s="4" t="s">
        <v>84</v>
      </c>
      <c r="B15" s="4"/>
      <c r="C15" s="4"/>
      <c r="D15" s="4"/>
      <c r="E15" s="4"/>
      <c r="F15" s="4"/>
      <c r="G15" s="4"/>
      <c r="H15" s="4"/>
    </row>
    <row r="16" customFormat="false" ht="15" hidden="false" customHeight="true" outlineLevel="0" collapsed="false">
      <c r="A16" s="5" t="s">
        <v>85</v>
      </c>
      <c r="B16" s="7" t="n">
        <f aca="false">E10+E11+E12+E13</f>
        <v>90</v>
      </c>
      <c r="C16" s="7"/>
      <c r="D16" s="7"/>
      <c r="E16" s="7"/>
      <c r="F16" s="7"/>
      <c r="G16" s="7"/>
      <c r="H16" s="7"/>
    </row>
    <row r="17" customFormat="false" ht="15" hidden="false" customHeight="true" outlineLevel="0" collapsed="false">
      <c r="A17" s="5" t="s">
        <v>86</v>
      </c>
      <c r="B17" s="7" t="s">
        <v>87</v>
      </c>
      <c r="C17" s="7"/>
      <c r="D17" s="7"/>
      <c r="E17" s="7"/>
      <c r="F17" s="7"/>
      <c r="G17" s="7"/>
      <c r="H17" s="7"/>
    </row>
    <row r="18" customFormat="false" ht="15" hidden="false" customHeight="true" outlineLevel="0" collapsed="false">
      <c r="A18" s="5" t="s">
        <v>88</v>
      </c>
      <c r="B18" s="7" t="s">
        <v>89</v>
      </c>
      <c r="C18" s="7"/>
      <c r="D18" s="7"/>
      <c r="E18" s="7"/>
      <c r="F18" s="7"/>
      <c r="G18" s="7"/>
      <c r="H18" s="7"/>
    </row>
  </sheetData>
  <mergeCells count="8">
    <mergeCell ref="A1:H1"/>
    <mergeCell ref="A2:H2"/>
    <mergeCell ref="A4:H4"/>
    <mergeCell ref="A8:H8"/>
    <mergeCell ref="A15:H15"/>
    <mergeCell ref="B16:H16"/>
    <mergeCell ref="B17:H17"/>
    <mergeCell ref="B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8"/>
    <col collapsed="false" customWidth="true" hidden="false" outlineLevel="0" max="3" min="3" style="1" width="8"/>
    <col collapsed="false" customWidth="true" hidden="false" outlineLevel="0" max="4" min="4" style="1" width="7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18"/>
    <col collapsed="false" customWidth="true" hidden="false" outlineLevel="0" max="8" min="8" style="1" width="8"/>
    <col collapsed="false" customWidth="true" hidden="false" outlineLevel="0" max="9" min="9" style="1" width="35"/>
  </cols>
  <sheetData>
    <row r="1" customFormat="false" ht="21.75" hidden="false" customHeight="true" outlineLevel="0" collapsed="false">
      <c r="A1" s="2" t="s">
        <v>90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" t="s">
        <v>91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A4" s="4" t="s">
        <v>92</v>
      </c>
      <c r="B4" s="4"/>
      <c r="C4" s="4"/>
      <c r="D4" s="4"/>
      <c r="E4" s="4"/>
      <c r="F4" s="4"/>
      <c r="G4" s="4"/>
      <c r="H4" s="4"/>
      <c r="I4" s="4"/>
    </row>
    <row r="5" customFormat="false" ht="15.75" hidden="false" customHeight="true" outlineLevel="0" collapsed="false">
      <c r="A5" s="8" t="s">
        <v>93</v>
      </c>
      <c r="B5" s="8" t="s">
        <v>94</v>
      </c>
      <c r="C5" s="8" t="s">
        <v>95</v>
      </c>
      <c r="D5" s="8" t="s">
        <v>51</v>
      </c>
      <c r="E5" s="8" t="s">
        <v>96</v>
      </c>
      <c r="F5" s="8" t="s">
        <v>97</v>
      </c>
      <c r="G5" s="8" t="s">
        <v>53</v>
      </c>
      <c r="H5" s="8" t="s">
        <v>98</v>
      </c>
      <c r="I5" s="8" t="s">
        <v>54</v>
      </c>
    </row>
    <row r="6" customFormat="false" ht="36" hidden="false" customHeight="true" outlineLevel="0" collapsed="false">
      <c r="A6" s="10" t="s">
        <v>99</v>
      </c>
      <c r="B6" s="10" t="s">
        <v>100</v>
      </c>
      <c r="C6" s="10" t="s">
        <v>101</v>
      </c>
      <c r="D6" s="10" t="n">
        <v>13</v>
      </c>
      <c r="E6" s="10" t="s">
        <v>62</v>
      </c>
      <c r="F6" s="10" t="s">
        <v>102</v>
      </c>
      <c r="G6" s="10" t="s">
        <v>59</v>
      </c>
      <c r="H6" s="10" t="s">
        <v>57</v>
      </c>
      <c r="I6" s="10" t="s">
        <v>103</v>
      </c>
    </row>
    <row r="7" customFormat="false" ht="36" hidden="false" customHeight="true" outlineLevel="0" collapsed="false">
      <c r="A7" s="10" t="s">
        <v>104</v>
      </c>
      <c r="B7" s="10" t="s">
        <v>105</v>
      </c>
      <c r="C7" s="10" t="s">
        <v>101</v>
      </c>
      <c r="D7" s="10" t="n">
        <v>11</v>
      </c>
      <c r="E7" s="10" t="s">
        <v>62</v>
      </c>
      <c r="F7" s="10" t="s">
        <v>102</v>
      </c>
      <c r="G7" s="10" t="s">
        <v>59</v>
      </c>
      <c r="H7" s="10" t="s">
        <v>57</v>
      </c>
      <c r="I7" s="10" t="s">
        <v>106</v>
      </c>
    </row>
    <row r="8" customFormat="false" ht="36" hidden="false" customHeight="true" outlineLevel="0" collapsed="false">
      <c r="A8" s="10" t="s">
        <v>107</v>
      </c>
      <c r="B8" s="10" t="s">
        <v>108</v>
      </c>
      <c r="C8" s="10" t="s">
        <v>101</v>
      </c>
      <c r="D8" s="10" t="n">
        <v>10</v>
      </c>
      <c r="E8" s="10" t="s">
        <v>62</v>
      </c>
      <c r="F8" s="10" t="s">
        <v>102</v>
      </c>
      <c r="G8" s="10" t="s">
        <v>59</v>
      </c>
      <c r="H8" s="10" t="s">
        <v>57</v>
      </c>
      <c r="I8" s="10" t="s">
        <v>109</v>
      </c>
    </row>
    <row r="9" customFormat="false" ht="36" hidden="false" customHeight="true" outlineLevel="0" collapsed="false">
      <c r="A9" s="11" t="s">
        <v>110</v>
      </c>
      <c r="B9" s="11" t="s">
        <v>111</v>
      </c>
      <c r="C9" s="11" t="s">
        <v>101</v>
      </c>
      <c r="D9" s="11" t="n">
        <v>13</v>
      </c>
      <c r="E9" s="11" t="s">
        <v>68</v>
      </c>
      <c r="F9" s="11" t="s">
        <v>112</v>
      </c>
      <c r="G9" s="11" t="s">
        <v>72</v>
      </c>
      <c r="H9" s="11" t="s">
        <v>57</v>
      </c>
      <c r="I9" s="11" t="s">
        <v>113</v>
      </c>
    </row>
    <row r="10" customFormat="false" ht="36" hidden="false" customHeight="true" outlineLevel="0" collapsed="false">
      <c r="A10" s="11" t="s">
        <v>114</v>
      </c>
      <c r="B10" s="11" t="s">
        <v>115</v>
      </c>
      <c r="C10" s="11" t="s">
        <v>101</v>
      </c>
      <c r="D10" s="11" t="n">
        <v>15</v>
      </c>
      <c r="E10" s="11" t="s">
        <v>68</v>
      </c>
      <c r="F10" s="11" t="s">
        <v>102</v>
      </c>
      <c r="G10" s="11" t="s">
        <v>72</v>
      </c>
      <c r="H10" s="11" t="s">
        <v>57</v>
      </c>
      <c r="I10" s="11" t="s">
        <v>116</v>
      </c>
    </row>
    <row r="11" customFormat="false" ht="36" hidden="false" customHeight="true" outlineLevel="0" collapsed="false">
      <c r="A11" s="9" t="s">
        <v>117</v>
      </c>
      <c r="B11" s="9" t="s">
        <v>118</v>
      </c>
      <c r="C11" s="9" t="s">
        <v>101</v>
      </c>
      <c r="D11" s="9" t="n">
        <v>10</v>
      </c>
      <c r="E11" s="9" t="s">
        <v>74</v>
      </c>
      <c r="F11" s="9" t="s">
        <v>112</v>
      </c>
      <c r="G11" s="9" t="s">
        <v>78</v>
      </c>
      <c r="H11" s="9" t="s">
        <v>57</v>
      </c>
      <c r="I11" s="9"/>
    </row>
    <row r="13" customFormat="false" ht="15" hidden="false" customHeight="true" outlineLevel="0" collapsed="false">
      <c r="A13" s="4" t="s">
        <v>119</v>
      </c>
      <c r="B13" s="4"/>
      <c r="C13" s="4"/>
      <c r="D13" s="4"/>
      <c r="E13" s="4"/>
      <c r="F13" s="4"/>
      <c r="G13" s="4"/>
      <c r="H13" s="4"/>
      <c r="I13" s="4"/>
    </row>
    <row r="14" customFormat="false" ht="15.75" hidden="false" customHeight="true" outlineLevel="0" collapsed="false">
      <c r="A14" s="8" t="s">
        <v>93</v>
      </c>
      <c r="B14" s="8" t="s">
        <v>94</v>
      </c>
      <c r="C14" s="8" t="s">
        <v>95</v>
      </c>
      <c r="D14" s="8" t="s">
        <v>51</v>
      </c>
      <c r="E14" s="8" t="s">
        <v>96</v>
      </c>
      <c r="F14" s="8" t="s">
        <v>97</v>
      </c>
      <c r="G14" s="8" t="s">
        <v>53</v>
      </c>
      <c r="H14" s="8" t="s">
        <v>98</v>
      </c>
      <c r="I14" s="8" t="s">
        <v>54</v>
      </c>
    </row>
    <row r="15" customFormat="false" ht="27.75" hidden="false" customHeight="true" outlineLevel="0" collapsed="false">
      <c r="A15" s="10" t="s">
        <v>120</v>
      </c>
      <c r="B15" s="10" t="s">
        <v>121</v>
      </c>
      <c r="C15" s="10" t="s">
        <v>122</v>
      </c>
      <c r="D15" s="10" t="n">
        <v>2</v>
      </c>
      <c r="E15" s="10" t="s">
        <v>123</v>
      </c>
      <c r="F15" s="10" t="s">
        <v>102</v>
      </c>
      <c r="G15" s="10" t="s">
        <v>124</v>
      </c>
      <c r="H15" s="10" t="s">
        <v>57</v>
      </c>
      <c r="I15" s="10" t="s">
        <v>125</v>
      </c>
    </row>
    <row r="16" customFormat="false" ht="27.75" hidden="false" customHeight="true" outlineLevel="0" collapsed="false">
      <c r="A16" s="10" t="s">
        <v>126</v>
      </c>
      <c r="B16" s="10" t="s">
        <v>127</v>
      </c>
      <c r="C16" s="10" t="s">
        <v>122</v>
      </c>
      <c r="D16" s="10" t="n">
        <v>2</v>
      </c>
      <c r="E16" s="10" t="s">
        <v>123</v>
      </c>
      <c r="F16" s="10" t="s">
        <v>102</v>
      </c>
      <c r="G16" s="10" t="s">
        <v>128</v>
      </c>
      <c r="H16" s="10" t="s">
        <v>57</v>
      </c>
      <c r="I16" s="10" t="s">
        <v>129</v>
      </c>
    </row>
    <row r="17" customFormat="false" ht="27.75" hidden="false" customHeight="true" outlineLevel="0" collapsed="false">
      <c r="A17" s="11" t="s">
        <v>130</v>
      </c>
      <c r="B17" s="11" t="s">
        <v>131</v>
      </c>
      <c r="C17" s="11" t="s">
        <v>122</v>
      </c>
      <c r="D17" s="11" t="n">
        <v>1</v>
      </c>
      <c r="E17" s="11" t="s">
        <v>68</v>
      </c>
      <c r="F17" s="11" t="s">
        <v>112</v>
      </c>
      <c r="G17" s="11" t="s">
        <v>132</v>
      </c>
      <c r="H17" s="11" t="s">
        <v>57</v>
      </c>
      <c r="I17" s="11" t="s">
        <v>133</v>
      </c>
    </row>
  </sheetData>
  <mergeCells count="4">
    <mergeCell ref="A1:I1"/>
    <mergeCell ref="A2:I2"/>
    <mergeCell ref="A4:I4"/>
    <mergeCell ref="A13:I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  <col collapsed="false" customWidth="true" hidden="false" outlineLevel="0" max="3" min="3" style="1" width="50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28"/>
  </cols>
  <sheetData>
    <row r="1" customFormat="false" ht="21.75" hidden="false" customHeight="true" outlineLevel="0" collapsed="false">
      <c r="A1" s="2" t="s">
        <v>134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135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136</v>
      </c>
      <c r="B4" s="4"/>
      <c r="C4" s="4"/>
      <c r="D4" s="4"/>
      <c r="E4" s="4"/>
      <c r="F4" s="4"/>
      <c r="G4" s="4"/>
    </row>
    <row r="5" customFormat="false" ht="15.75" hidden="false" customHeight="true" outlineLevel="0" collapsed="false">
      <c r="A5" s="8" t="s">
        <v>137</v>
      </c>
      <c r="B5" s="8" t="s">
        <v>138</v>
      </c>
      <c r="C5" s="8" t="s">
        <v>139</v>
      </c>
      <c r="D5" s="8" t="s">
        <v>140</v>
      </c>
      <c r="E5" s="8" t="s">
        <v>141</v>
      </c>
      <c r="F5" s="8" t="s">
        <v>142</v>
      </c>
      <c r="G5" s="8" t="s">
        <v>54</v>
      </c>
    </row>
    <row r="6" customFormat="false" ht="27.75" hidden="false" customHeight="true" outlineLevel="0" collapsed="false">
      <c r="A6" s="9" t="s">
        <v>143</v>
      </c>
      <c r="B6" s="9" t="s">
        <v>144</v>
      </c>
      <c r="C6" s="9" t="s">
        <v>145</v>
      </c>
      <c r="D6" s="9" t="s">
        <v>146</v>
      </c>
      <c r="E6" s="9" t="s">
        <v>147</v>
      </c>
      <c r="F6" s="9" t="s">
        <v>148</v>
      </c>
      <c r="G6" s="9" t="s">
        <v>149</v>
      </c>
    </row>
    <row r="7" customFormat="false" ht="27.75" hidden="false" customHeight="true" outlineLevel="0" collapsed="false">
      <c r="A7" s="9" t="s">
        <v>150</v>
      </c>
      <c r="B7" s="9" t="s">
        <v>144</v>
      </c>
      <c r="C7" s="9" t="s">
        <v>151</v>
      </c>
      <c r="D7" s="9" t="s">
        <v>152</v>
      </c>
      <c r="E7" s="9" t="s">
        <v>147</v>
      </c>
      <c r="F7" s="9" t="s">
        <v>153</v>
      </c>
      <c r="G7" s="9" t="s">
        <v>154</v>
      </c>
    </row>
    <row r="9" customFormat="false" ht="15" hidden="false" customHeight="true" outlineLevel="0" collapsed="false">
      <c r="A9" s="4" t="s">
        <v>155</v>
      </c>
      <c r="B9" s="4"/>
      <c r="C9" s="4"/>
      <c r="D9" s="4"/>
      <c r="E9" s="4"/>
      <c r="F9" s="4"/>
      <c r="G9" s="4"/>
    </row>
    <row r="10" customFormat="false" ht="15.75" hidden="false" customHeight="true" outlineLevel="0" collapsed="false">
      <c r="A10" s="8" t="s">
        <v>137</v>
      </c>
      <c r="B10" s="8" t="s">
        <v>138</v>
      </c>
      <c r="C10" s="8" t="s">
        <v>139</v>
      </c>
      <c r="D10" s="8" t="s">
        <v>140</v>
      </c>
      <c r="E10" s="8" t="s">
        <v>141</v>
      </c>
      <c r="F10" s="8" t="s">
        <v>142</v>
      </c>
      <c r="G10" s="8" t="s">
        <v>54</v>
      </c>
    </row>
    <row r="11" customFormat="false" ht="24" hidden="false" customHeight="true" outlineLevel="0" collapsed="false">
      <c r="A11" s="12" t="s">
        <v>156</v>
      </c>
      <c r="B11" s="12" t="s">
        <v>157</v>
      </c>
      <c r="C11" s="12" t="s">
        <v>158</v>
      </c>
      <c r="D11" s="12" t="s">
        <v>146</v>
      </c>
      <c r="E11" s="12" t="s">
        <v>159</v>
      </c>
      <c r="F11" s="12" t="s">
        <v>57</v>
      </c>
      <c r="G11" s="12" t="s">
        <v>160</v>
      </c>
    </row>
    <row r="12" customFormat="false" ht="24" hidden="false" customHeight="true" outlineLevel="0" collapsed="false">
      <c r="A12" s="12" t="s">
        <v>161</v>
      </c>
      <c r="B12" s="12" t="s">
        <v>157</v>
      </c>
      <c r="C12" s="12" t="s">
        <v>162</v>
      </c>
      <c r="D12" s="12" t="s">
        <v>146</v>
      </c>
      <c r="E12" s="12" t="s">
        <v>159</v>
      </c>
      <c r="F12" s="12" t="s">
        <v>57</v>
      </c>
      <c r="G12" s="12" t="s">
        <v>163</v>
      </c>
    </row>
  </sheetData>
  <mergeCells count="4">
    <mergeCell ref="A1:G1"/>
    <mergeCell ref="A2:G2"/>
    <mergeCell ref="A4:G4"/>
    <mergeCell ref="A9:G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12"/>
    <col collapsed="false" customWidth="true" hidden="false" outlineLevel="0" max="5" min="4" style="1" width="11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14"/>
    <col collapsed="false" customWidth="true" hidden="false" outlineLevel="0" max="10" min="10" style="1" width="40"/>
  </cols>
  <sheetData>
    <row r="1" customFormat="false" ht="21.75" hidden="false" customHeight="true" outlineLevel="0" collapsed="false">
      <c r="A1" s="2" t="s">
        <v>164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165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4" t="s">
        <v>166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27.75" hidden="false" customHeight="true" outlineLevel="0" collapsed="false">
      <c r="A5" s="13" t="s">
        <v>96</v>
      </c>
      <c r="B5" s="13" t="s">
        <v>167</v>
      </c>
      <c r="C5" s="13" t="s">
        <v>168</v>
      </c>
      <c r="D5" s="13" t="s">
        <v>169</v>
      </c>
      <c r="E5" s="13" t="s">
        <v>170</v>
      </c>
      <c r="F5" s="13" t="s">
        <v>171</v>
      </c>
      <c r="G5" s="13" t="s">
        <v>172</v>
      </c>
      <c r="H5" s="13" t="s">
        <v>173</v>
      </c>
      <c r="I5" s="13" t="s">
        <v>174</v>
      </c>
      <c r="J5" s="13" t="s">
        <v>175</v>
      </c>
    </row>
    <row r="6" customFormat="false" ht="31.5" hidden="false" customHeight="true" outlineLevel="0" collapsed="false">
      <c r="A6" s="10" t="s">
        <v>62</v>
      </c>
      <c r="B6" s="10" t="s">
        <v>176</v>
      </c>
      <c r="C6" s="10" t="n">
        <v>2</v>
      </c>
      <c r="D6" s="10" t="n">
        <v>34</v>
      </c>
      <c r="E6" s="10" t="n">
        <v>34</v>
      </c>
      <c r="F6" s="10" t="s">
        <v>177</v>
      </c>
      <c r="G6" s="10" t="n">
        <v>34</v>
      </c>
      <c r="H6" s="10" t="n">
        <v>3</v>
      </c>
      <c r="I6" s="10" t="n">
        <v>0</v>
      </c>
      <c r="J6" s="10" t="s">
        <v>178</v>
      </c>
    </row>
    <row r="7" customFormat="false" ht="31.5" hidden="false" customHeight="true" outlineLevel="0" collapsed="false">
      <c r="A7" s="11" t="s">
        <v>68</v>
      </c>
      <c r="B7" s="11" t="s">
        <v>179</v>
      </c>
      <c r="C7" s="11" t="n">
        <v>2</v>
      </c>
      <c r="D7" s="11" t="n">
        <v>28</v>
      </c>
      <c r="E7" s="11" t="s">
        <v>180</v>
      </c>
      <c r="F7" s="11" t="s">
        <v>181</v>
      </c>
      <c r="G7" s="11" t="s">
        <v>57</v>
      </c>
      <c r="H7" s="11" t="s">
        <v>57</v>
      </c>
      <c r="I7" s="11" t="s">
        <v>57</v>
      </c>
      <c r="J7" s="11" t="s">
        <v>182</v>
      </c>
    </row>
    <row r="8" customFormat="false" ht="31.5" hidden="false" customHeight="true" outlineLevel="0" collapsed="false">
      <c r="A8" s="9" t="s">
        <v>74</v>
      </c>
      <c r="B8" s="9" t="s">
        <v>183</v>
      </c>
      <c r="C8" s="9" t="n">
        <v>2</v>
      </c>
      <c r="D8" s="9" t="n">
        <v>20</v>
      </c>
      <c r="E8" s="9" t="s">
        <v>57</v>
      </c>
      <c r="F8" s="9" t="s">
        <v>57</v>
      </c>
      <c r="G8" s="9" t="s">
        <v>57</v>
      </c>
      <c r="H8" s="9" t="s">
        <v>57</v>
      </c>
      <c r="I8" s="9" t="s">
        <v>57</v>
      </c>
      <c r="J8" s="9" t="s">
        <v>184</v>
      </c>
    </row>
    <row r="9" customFormat="false" ht="31.5" hidden="false" customHeight="true" outlineLevel="0" collapsed="false">
      <c r="A9" s="9" t="s">
        <v>185</v>
      </c>
      <c r="B9" s="9" t="s">
        <v>186</v>
      </c>
      <c r="C9" s="9" t="n">
        <v>2</v>
      </c>
      <c r="D9" s="9" t="n">
        <v>8</v>
      </c>
      <c r="E9" s="9" t="s">
        <v>57</v>
      </c>
      <c r="F9" s="9" t="s">
        <v>57</v>
      </c>
      <c r="G9" s="9" t="s">
        <v>57</v>
      </c>
      <c r="H9" s="9" t="s">
        <v>57</v>
      </c>
      <c r="I9" s="9" t="s">
        <v>57</v>
      </c>
      <c r="J9" s="9" t="s">
        <v>187</v>
      </c>
    </row>
    <row r="11" customFormat="false" ht="15" hidden="false" customHeight="true" outlineLevel="0" collapsed="false">
      <c r="A11" s="4" t="s">
        <v>188</v>
      </c>
      <c r="B11" s="4"/>
      <c r="C11" s="4"/>
      <c r="D11" s="4"/>
      <c r="E11" s="4"/>
      <c r="F11" s="4"/>
      <c r="G11" s="4"/>
      <c r="H11" s="4"/>
      <c r="I11" s="4"/>
      <c r="J11" s="4"/>
    </row>
    <row r="12" customFormat="false" ht="15" hidden="false" customHeight="true" outlineLevel="0" collapsed="false">
      <c r="A12" s="5" t="s">
        <v>189</v>
      </c>
      <c r="B12" s="7" t="n">
        <f aca="false">D6+D7+D8+D9</f>
        <v>90</v>
      </c>
      <c r="C12" s="7"/>
      <c r="D12" s="7"/>
      <c r="E12" s="7"/>
      <c r="F12" s="7"/>
      <c r="G12" s="7"/>
      <c r="H12" s="7"/>
      <c r="I12" s="7"/>
      <c r="J12" s="7"/>
    </row>
    <row r="13" customFormat="false" ht="15" hidden="false" customHeight="true" outlineLevel="0" collapsed="false">
      <c r="A13" s="5" t="s">
        <v>190</v>
      </c>
      <c r="B13" s="7" t="s">
        <v>87</v>
      </c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true" outlineLevel="0" collapsed="false">
      <c r="A14" s="5" t="s">
        <v>191</v>
      </c>
      <c r="B14" s="7" t="s">
        <v>192</v>
      </c>
      <c r="C14" s="7"/>
      <c r="D14" s="7"/>
      <c r="E14" s="7"/>
      <c r="F14" s="7"/>
      <c r="G14" s="7"/>
      <c r="H14" s="7"/>
      <c r="I14" s="7"/>
      <c r="J14" s="7"/>
    </row>
  </sheetData>
  <mergeCells count="7">
    <mergeCell ref="A1:J1"/>
    <mergeCell ref="A2:J2"/>
    <mergeCell ref="A4:J4"/>
    <mergeCell ref="A11:J11"/>
    <mergeCell ref="B12:J12"/>
    <mergeCell ref="B13:J13"/>
    <mergeCell ref="B14:J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8"/>
    <col collapsed="false" customWidth="true" hidden="false" outlineLevel="0" max="5" min="3" style="1" width="8"/>
    <col collapsed="false" customWidth="true" hidden="false" outlineLevel="0" max="6" min="6" style="1" width="12"/>
    <col collapsed="false" customWidth="true" hidden="false" outlineLevel="0" max="7" min="7" style="1" width="48"/>
    <col collapsed="false" customWidth="true" hidden="false" outlineLevel="0" max="8" min="8" style="1" width="20"/>
    <col collapsed="false" customWidth="true" hidden="false" outlineLevel="0" max="9" min="9" style="1" width="18"/>
    <col collapsed="false" customWidth="true" hidden="false" outlineLevel="0" max="10" min="10" style="1" width="28"/>
  </cols>
  <sheetData>
    <row r="1" customFormat="false" ht="21.75" hidden="false" customHeight="true" outlineLevel="0" collapsed="false">
      <c r="A1" s="2" t="s">
        <v>193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194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true" outlineLevel="0" collapsed="false">
      <c r="A4" s="4" t="s">
        <v>195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27.75" hidden="false" customHeight="true" outlineLevel="0" collapsed="false">
      <c r="A5" s="13" t="s">
        <v>93</v>
      </c>
      <c r="B5" s="13" t="s">
        <v>196</v>
      </c>
      <c r="C5" s="13" t="s">
        <v>197</v>
      </c>
      <c r="D5" s="13" t="s">
        <v>198</v>
      </c>
      <c r="E5" s="13" t="s">
        <v>199</v>
      </c>
      <c r="F5" s="13" t="s">
        <v>200</v>
      </c>
      <c r="G5" s="13" t="s">
        <v>201</v>
      </c>
      <c r="H5" s="13" t="s">
        <v>202</v>
      </c>
      <c r="I5" s="13" t="s">
        <v>53</v>
      </c>
      <c r="J5" s="13" t="s">
        <v>54</v>
      </c>
    </row>
    <row r="6" customFormat="false" ht="39.75" hidden="false" customHeight="true" outlineLevel="0" collapsed="false">
      <c r="A6" s="11" t="s">
        <v>203</v>
      </c>
      <c r="B6" s="11" t="s">
        <v>204</v>
      </c>
      <c r="C6" s="11" t="n">
        <v>2</v>
      </c>
      <c r="D6" s="11" t="n">
        <v>2</v>
      </c>
      <c r="E6" s="11" t="n">
        <f aca="false">C7*D7</f>
        <v>6</v>
      </c>
      <c r="F6" s="11" t="s">
        <v>205</v>
      </c>
      <c r="G6" s="11" t="s">
        <v>206</v>
      </c>
      <c r="H6" s="11" t="s">
        <v>207</v>
      </c>
      <c r="I6" s="11" t="s">
        <v>208</v>
      </c>
      <c r="J6" s="11" t="s">
        <v>209</v>
      </c>
    </row>
    <row r="7" customFormat="false" ht="39.75" hidden="false" customHeight="true" outlineLevel="0" collapsed="false">
      <c r="A7" s="10" t="s">
        <v>210</v>
      </c>
      <c r="B7" s="10" t="s">
        <v>211</v>
      </c>
      <c r="C7" s="10" t="n">
        <v>2</v>
      </c>
      <c r="D7" s="10" t="n">
        <v>3</v>
      </c>
      <c r="E7" s="10" t="n">
        <f aca="false">C8*D8</f>
        <v>2</v>
      </c>
      <c r="F7" s="10" t="s">
        <v>212</v>
      </c>
      <c r="G7" s="10" t="s">
        <v>213</v>
      </c>
      <c r="H7" s="10" t="s">
        <v>207</v>
      </c>
      <c r="I7" s="10" t="s">
        <v>214</v>
      </c>
      <c r="J7" s="10" t="s">
        <v>215</v>
      </c>
    </row>
    <row r="8" customFormat="false" ht="39.75" hidden="false" customHeight="true" outlineLevel="0" collapsed="false">
      <c r="A8" s="10" t="s">
        <v>216</v>
      </c>
      <c r="B8" s="10" t="s">
        <v>217</v>
      </c>
      <c r="C8" s="10" t="n">
        <v>1</v>
      </c>
      <c r="D8" s="10" t="n">
        <v>2</v>
      </c>
      <c r="E8" s="10" t="n">
        <f aca="false">C9*D9</f>
        <v>6</v>
      </c>
      <c r="F8" s="10" t="s">
        <v>218</v>
      </c>
      <c r="G8" s="10" t="s">
        <v>219</v>
      </c>
      <c r="H8" s="10" t="s">
        <v>207</v>
      </c>
      <c r="I8" s="10" t="s">
        <v>220</v>
      </c>
      <c r="J8" s="10" t="s">
        <v>221</v>
      </c>
    </row>
    <row r="9" customFormat="false" ht="39.75" hidden="false" customHeight="true" outlineLevel="0" collapsed="false">
      <c r="A9" s="11" t="s">
        <v>222</v>
      </c>
      <c r="B9" s="11" t="s">
        <v>223</v>
      </c>
      <c r="C9" s="11" t="n">
        <v>2</v>
      </c>
      <c r="D9" s="11" t="n">
        <v>3</v>
      </c>
      <c r="E9" s="11" t="n">
        <f aca="false">C10*D10</f>
        <v>3</v>
      </c>
      <c r="F9" s="11" t="s">
        <v>212</v>
      </c>
      <c r="G9" s="11" t="s">
        <v>224</v>
      </c>
      <c r="H9" s="11" t="s">
        <v>225</v>
      </c>
      <c r="I9" s="11" t="s">
        <v>226</v>
      </c>
      <c r="J9" s="11" t="s">
        <v>227</v>
      </c>
    </row>
    <row r="10" customFormat="false" ht="39.75" hidden="false" customHeight="true" outlineLevel="0" collapsed="false">
      <c r="A10" s="10" t="s">
        <v>228</v>
      </c>
      <c r="B10" s="10" t="s">
        <v>229</v>
      </c>
      <c r="C10" s="10" t="n">
        <v>1</v>
      </c>
      <c r="D10" s="10" t="n">
        <v>3</v>
      </c>
      <c r="E10" s="10" t="n">
        <f aca="false">C11*D11</f>
        <v>0</v>
      </c>
      <c r="F10" s="10" t="s">
        <v>230</v>
      </c>
      <c r="G10" s="10" t="s">
        <v>231</v>
      </c>
      <c r="H10" s="10" t="s">
        <v>207</v>
      </c>
      <c r="I10" s="10" t="s">
        <v>220</v>
      </c>
      <c r="J10" s="10" t="s">
        <v>232</v>
      </c>
    </row>
  </sheetData>
  <mergeCells count="3">
    <mergeCell ref="A1:J1"/>
    <mergeCell ref="A2:J2"/>
    <mergeCell ref="A4:J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24"/>
  </cols>
  <sheetData>
    <row r="1" customFormat="false" ht="21.75" hidden="false" customHeight="true" outlineLevel="0" collapsed="false">
      <c r="A1" s="2" t="s">
        <v>233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234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235</v>
      </c>
      <c r="B4" s="4"/>
      <c r="C4" s="4"/>
      <c r="D4" s="4"/>
      <c r="E4" s="4"/>
      <c r="F4" s="4"/>
      <c r="G4" s="4"/>
      <c r="H4" s="4"/>
    </row>
    <row r="5" customFormat="false" ht="15.75" hidden="false" customHeight="true" outlineLevel="0" collapsed="false">
      <c r="A5" s="8" t="s">
        <v>98</v>
      </c>
      <c r="B5" s="8" t="s">
        <v>94</v>
      </c>
      <c r="C5" s="8" t="s">
        <v>236</v>
      </c>
      <c r="D5" s="8" t="s">
        <v>237</v>
      </c>
      <c r="E5" s="8" t="s">
        <v>238</v>
      </c>
      <c r="F5" s="8" t="s">
        <v>239</v>
      </c>
      <c r="G5" s="8" t="s">
        <v>53</v>
      </c>
      <c r="H5" s="8" t="s">
        <v>240</v>
      </c>
    </row>
    <row r="6" customFormat="false" ht="24" hidden="false" customHeight="true" outlineLevel="0" collapsed="false">
      <c r="A6" s="14" t="s">
        <v>241</v>
      </c>
      <c r="B6" s="14"/>
      <c r="C6" s="14"/>
      <c r="D6" s="14"/>
      <c r="E6" s="14"/>
      <c r="F6" s="14"/>
      <c r="G6" s="14"/>
      <c r="H6" s="14"/>
    </row>
  </sheetData>
  <mergeCells count="4">
    <mergeCell ref="A1:H1"/>
    <mergeCell ref="A2:H2"/>
    <mergeCell ref="A4:H4"/>
    <mergeCell ref="A6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4"/>
    <col collapsed="false" customWidth="true" hidden="false" outlineLevel="0" max="3" min="3" style="1" width="52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7" min="7" style="1" width="22"/>
  </cols>
  <sheetData>
    <row r="1" customFormat="false" ht="21.75" hidden="false" customHeight="true" outlineLevel="0" collapsed="false">
      <c r="A1" s="2" t="s">
        <v>242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243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244</v>
      </c>
      <c r="B4" s="4"/>
      <c r="C4" s="4"/>
      <c r="D4" s="4"/>
      <c r="E4" s="4"/>
      <c r="F4" s="4"/>
      <c r="G4" s="4"/>
    </row>
    <row r="5" customFormat="false" ht="15.75" hidden="false" customHeight="true" outlineLevel="0" collapsed="false">
      <c r="A5" s="8" t="s">
        <v>245</v>
      </c>
      <c r="B5" s="8" t="s">
        <v>246</v>
      </c>
      <c r="C5" s="8" t="s">
        <v>247</v>
      </c>
      <c r="D5" s="8" t="s">
        <v>248</v>
      </c>
      <c r="E5" s="8" t="s">
        <v>53</v>
      </c>
      <c r="F5" s="8" t="s">
        <v>249</v>
      </c>
      <c r="G5" s="8" t="s">
        <v>250</v>
      </c>
    </row>
    <row r="6" customFormat="false" ht="27.75" hidden="false" customHeight="true" outlineLevel="0" collapsed="false">
      <c r="A6" s="10" t="s">
        <v>251</v>
      </c>
      <c r="B6" s="10" t="s">
        <v>252</v>
      </c>
      <c r="C6" s="10" t="s">
        <v>253</v>
      </c>
      <c r="D6" s="10" t="s">
        <v>254</v>
      </c>
      <c r="E6" s="10" t="s">
        <v>124</v>
      </c>
      <c r="F6" s="10" t="s">
        <v>255</v>
      </c>
      <c r="G6" s="10" t="s">
        <v>256</v>
      </c>
    </row>
    <row r="7" customFormat="false" ht="27.75" hidden="false" customHeight="true" outlineLevel="0" collapsed="false">
      <c r="A7" s="10" t="s">
        <v>257</v>
      </c>
      <c r="B7" s="10" t="s">
        <v>258</v>
      </c>
      <c r="C7" s="10" t="s">
        <v>259</v>
      </c>
      <c r="D7" s="10" t="s">
        <v>260</v>
      </c>
      <c r="E7" s="10" t="s">
        <v>124</v>
      </c>
      <c r="F7" s="10" t="s">
        <v>255</v>
      </c>
      <c r="G7" s="10" t="s">
        <v>256</v>
      </c>
    </row>
    <row r="8" customFormat="false" ht="27.75" hidden="false" customHeight="true" outlineLevel="0" collapsed="false">
      <c r="A8" s="10" t="s">
        <v>261</v>
      </c>
      <c r="B8" s="10" t="s">
        <v>262</v>
      </c>
      <c r="C8" s="10" t="s">
        <v>263</v>
      </c>
      <c r="D8" s="10" t="s">
        <v>264</v>
      </c>
      <c r="E8" s="10" t="s">
        <v>124</v>
      </c>
      <c r="F8" s="10" t="s">
        <v>265</v>
      </c>
      <c r="G8" s="10" t="s">
        <v>266</v>
      </c>
    </row>
    <row r="9" customFormat="false" ht="27.75" hidden="false" customHeight="true" outlineLevel="0" collapsed="false">
      <c r="A9" s="10" t="s">
        <v>267</v>
      </c>
      <c r="B9" s="10" t="s">
        <v>268</v>
      </c>
      <c r="C9" s="10" t="s">
        <v>269</v>
      </c>
      <c r="D9" s="10" t="s">
        <v>270</v>
      </c>
      <c r="E9" s="10" t="s">
        <v>124</v>
      </c>
      <c r="F9" s="10" t="s">
        <v>255</v>
      </c>
      <c r="G9" s="10" t="s">
        <v>271</v>
      </c>
    </row>
    <row r="10" customFormat="false" ht="27.75" hidden="false" customHeight="true" outlineLevel="0" collapsed="false">
      <c r="A10" s="10" t="s">
        <v>272</v>
      </c>
      <c r="B10" s="10" t="s">
        <v>273</v>
      </c>
      <c r="C10" s="10" t="s">
        <v>274</v>
      </c>
      <c r="D10" s="10" t="s">
        <v>275</v>
      </c>
      <c r="E10" s="10" t="s">
        <v>124</v>
      </c>
      <c r="F10" s="10" t="s">
        <v>255</v>
      </c>
      <c r="G10" s="10" t="s">
        <v>276</v>
      </c>
    </row>
    <row r="11" customFormat="false" ht="27.75" hidden="false" customHeight="true" outlineLevel="0" collapsed="false">
      <c r="A11" s="10" t="s">
        <v>277</v>
      </c>
      <c r="B11" s="10" t="s">
        <v>278</v>
      </c>
      <c r="C11" s="10" t="s">
        <v>279</v>
      </c>
      <c r="D11" s="10" t="s">
        <v>280</v>
      </c>
      <c r="E11" s="10" t="s">
        <v>124</v>
      </c>
      <c r="F11" s="10" t="s">
        <v>255</v>
      </c>
      <c r="G11" s="10" t="s">
        <v>281</v>
      </c>
    </row>
    <row r="12" customFormat="false" ht="27.75" hidden="false" customHeight="true" outlineLevel="0" collapsed="false">
      <c r="A12" s="10" t="s">
        <v>282</v>
      </c>
      <c r="B12" s="10" t="s">
        <v>283</v>
      </c>
      <c r="C12" s="10" t="s">
        <v>284</v>
      </c>
      <c r="D12" s="10" t="s">
        <v>285</v>
      </c>
      <c r="E12" s="10" t="s">
        <v>124</v>
      </c>
      <c r="F12" s="10" t="s">
        <v>255</v>
      </c>
      <c r="G12" s="10" t="s">
        <v>286</v>
      </c>
    </row>
    <row r="13" customFormat="false" ht="27.75" hidden="false" customHeight="true" outlineLevel="0" collapsed="false">
      <c r="A13" s="10" t="s">
        <v>287</v>
      </c>
      <c r="B13" s="10" t="s">
        <v>288</v>
      </c>
      <c r="C13" s="10" t="s">
        <v>289</v>
      </c>
      <c r="D13" s="10" t="s">
        <v>290</v>
      </c>
      <c r="E13" s="10" t="s">
        <v>291</v>
      </c>
      <c r="F13" s="10" t="s">
        <v>292</v>
      </c>
      <c r="G13" s="10" t="s">
        <v>293</v>
      </c>
    </row>
  </sheetData>
  <mergeCells count="3">
    <mergeCell ref="A1:G1"/>
    <mergeCell ref="A2:G2"/>
    <mergeCell ref="A4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46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14"/>
  </cols>
  <sheetData>
    <row r="1" customFormat="false" ht="21.75" hidden="false" customHeight="true" outlineLevel="0" collapsed="false">
      <c r="A1" s="2" t="s">
        <v>294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295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5" t="s">
        <v>296</v>
      </c>
      <c r="B4" s="7" t="s">
        <v>297</v>
      </c>
      <c r="C4" s="7"/>
      <c r="D4" s="7"/>
      <c r="E4" s="7"/>
      <c r="F4" s="7"/>
      <c r="G4" s="7"/>
      <c r="H4" s="7"/>
    </row>
    <row r="5" customFormat="false" ht="15" hidden="false" customHeight="true" outlineLevel="0" collapsed="false">
      <c r="A5" s="5" t="s">
        <v>298</v>
      </c>
      <c r="B5" s="7" t="s">
        <v>299</v>
      </c>
      <c r="C5" s="7"/>
      <c r="D5" s="7"/>
      <c r="E5" s="7"/>
      <c r="F5" s="7"/>
      <c r="G5" s="7"/>
      <c r="H5" s="7"/>
    </row>
    <row r="6" customFormat="false" ht="15" hidden="false" customHeight="true" outlineLevel="0" collapsed="false">
      <c r="A6" s="5" t="s">
        <v>300</v>
      </c>
      <c r="B6" s="7" t="s">
        <v>301</v>
      </c>
      <c r="C6" s="7"/>
      <c r="D6" s="7"/>
      <c r="E6" s="7"/>
      <c r="F6" s="7"/>
      <c r="G6" s="7"/>
      <c r="H6" s="7"/>
    </row>
    <row r="7" customFormat="false" ht="15" hidden="false" customHeight="true" outlineLevel="0" collapsed="false">
      <c r="A7" s="5" t="s">
        <v>53</v>
      </c>
      <c r="B7" s="7" t="s">
        <v>302</v>
      </c>
      <c r="C7" s="7"/>
      <c r="D7" s="7"/>
      <c r="E7" s="7"/>
      <c r="F7" s="7"/>
      <c r="G7" s="7"/>
      <c r="H7" s="7"/>
    </row>
    <row r="9" customFormat="false" ht="15" hidden="false" customHeight="true" outlineLevel="0" collapsed="false">
      <c r="A9" s="4" t="s">
        <v>303</v>
      </c>
      <c r="B9" s="4"/>
      <c r="C9" s="4"/>
      <c r="D9" s="4"/>
      <c r="E9" s="4"/>
      <c r="F9" s="4"/>
      <c r="G9" s="4"/>
      <c r="H9" s="4"/>
    </row>
    <row r="10" customFormat="false" ht="19.5" hidden="false" customHeight="true" outlineLevel="0" collapsed="false">
      <c r="A10" s="13" t="s">
        <v>304</v>
      </c>
      <c r="B10" s="13" t="s">
        <v>218</v>
      </c>
      <c r="C10" s="13" t="s">
        <v>305</v>
      </c>
      <c r="D10" s="13" t="s">
        <v>48</v>
      </c>
      <c r="E10" s="13" t="s">
        <v>53</v>
      </c>
      <c r="F10" s="13" t="s">
        <v>296</v>
      </c>
      <c r="G10" s="13" t="s">
        <v>306</v>
      </c>
      <c r="H10" s="13" t="s">
        <v>307</v>
      </c>
    </row>
    <row r="11" customFormat="false" ht="27.75" hidden="false" customHeight="true" outlineLevel="0" collapsed="false">
      <c r="A11" s="11" t="s">
        <v>308</v>
      </c>
      <c r="B11" s="11" t="s">
        <v>309</v>
      </c>
      <c r="C11" s="11" t="s">
        <v>74</v>
      </c>
      <c r="D11" s="11" t="s">
        <v>310</v>
      </c>
      <c r="E11" s="11" t="s">
        <v>78</v>
      </c>
      <c r="F11" s="11" t="s">
        <v>311</v>
      </c>
      <c r="G11" s="11" t="s">
        <v>57</v>
      </c>
      <c r="H11" s="11" t="s">
        <v>57</v>
      </c>
    </row>
    <row r="12" customFormat="false" ht="27.75" hidden="false" customHeight="true" outlineLevel="0" collapsed="false">
      <c r="A12" s="11" t="s">
        <v>312</v>
      </c>
      <c r="B12" s="11" t="s">
        <v>313</v>
      </c>
      <c r="C12" s="11" t="s">
        <v>185</v>
      </c>
      <c r="D12" s="11" t="s">
        <v>314</v>
      </c>
      <c r="E12" s="11" t="s">
        <v>78</v>
      </c>
      <c r="F12" s="11" t="s">
        <v>311</v>
      </c>
      <c r="G12" s="11" t="s">
        <v>57</v>
      </c>
      <c r="H12" s="11" t="s">
        <v>57</v>
      </c>
    </row>
    <row r="14" customFormat="false" ht="24" hidden="false" customHeight="true" outlineLevel="0" collapsed="false">
      <c r="A14" s="15" t="s">
        <v>315</v>
      </c>
      <c r="B14" s="15"/>
      <c r="C14" s="15"/>
      <c r="D14" s="15"/>
      <c r="E14" s="15"/>
      <c r="F14" s="15"/>
      <c r="G14" s="15"/>
      <c r="H14" s="15"/>
    </row>
  </sheetData>
  <mergeCells count="8">
    <mergeCell ref="A1:H1"/>
    <mergeCell ref="A2:H2"/>
    <mergeCell ref="B4:H4"/>
    <mergeCell ref="B5:H5"/>
    <mergeCell ref="B6:H6"/>
    <mergeCell ref="B7:H7"/>
    <mergeCell ref="A9:H9"/>
    <mergeCell ref="A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9"/>
    <col collapsed="false" customWidth="true" hidden="false" outlineLevel="0" max="3" min="3" style="1" width="36"/>
    <col collapsed="false" customWidth="true" hidden="false" outlineLevel="0" max="4" min="4" style="1" width="9"/>
    <col collapsed="false" customWidth="true" hidden="false" outlineLevel="0" max="6" min="5" style="1" width="30"/>
    <col collapsed="false" customWidth="true" hidden="false" outlineLevel="0" max="7" min="7" style="1" width="36"/>
    <col collapsed="false" customWidth="true" hidden="false" outlineLevel="0" max="8" min="8" style="1" width="14"/>
    <col collapsed="false" customWidth="true" hidden="false" outlineLevel="0" max="9" min="9" style="1" width="22"/>
  </cols>
  <sheetData>
    <row r="1" customFormat="false" ht="21.75" hidden="false" customHeight="true" outlineLevel="0" collapsed="false">
      <c r="A1" s="2" t="s">
        <v>316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" t="s">
        <v>317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A4" s="4" t="s">
        <v>318</v>
      </c>
      <c r="B4" s="4"/>
      <c r="C4" s="4"/>
      <c r="D4" s="4"/>
      <c r="E4" s="4"/>
      <c r="F4" s="4"/>
      <c r="G4" s="4"/>
      <c r="H4" s="4"/>
      <c r="I4" s="4"/>
    </row>
    <row r="5" customFormat="false" ht="19.5" hidden="false" customHeight="true" outlineLevel="0" collapsed="false">
      <c r="A5" s="13" t="s">
        <v>319</v>
      </c>
      <c r="B5" s="13" t="s">
        <v>320</v>
      </c>
      <c r="C5" s="13" t="s">
        <v>321</v>
      </c>
      <c r="D5" s="13" t="s">
        <v>95</v>
      </c>
      <c r="E5" s="13" t="s">
        <v>322</v>
      </c>
      <c r="F5" s="13" t="s">
        <v>323</v>
      </c>
      <c r="G5" s="13" t="s">
        <v>324</v>
      </c>
      <c r="H5" s="13" t="s">
        <v>325</v>
      </c>
      <c r="I5" s="13" t="s">
        <v>54</v>
      </c>
    </row>
    <row r="6" customFormat="false" ht="39.75" hidden="false" customHeight="true" outlineLevel="0" collapsed="false">
      <c r="A6" s="16" t="s">
        <v>326</v>
      </c>
      <c r="B6" s="16" t="s">
        <v>327</v>
      </c>
      <c r="C6" s="16" t="s">
        <v>328</v>
      </c>
      <c r="D6" s="16" t="s">
        <v>329</v>
      </c>
      <c r="E6" s="16" t="s">
        <v>330</v>
      </c>
      <c r="F6" s="16" t="s">
        <v>331</v>
      </c>
      <c r="G6" s="16" t="s">
        <v>332</v>
      </c>
      <c r="H6" s="16" t="s">
        <v>333</v>
      </c>
      <c r="I6" s="16" t="s">
        <v>334</v>
      </c>
    </row>
    <row r="7" customFormat="false" ht="39.75" hidden="false" customHeight="true" outlineLevel="0" collapsed="false">
      <c r="A7" s="16" t="s">
        <v>326</v>
      </c>
      <c r="B7" s="16" t="s">
        <v>335</v>
      </c>
      <c r="C7" s="16" t="s">
        <v>336</v>
      </c>
      <c r="D7" s="16" t="s">
        <v>329</v>
      </c>
      <c r="E7" s="16" t="s">
        <v>337</v>
      </c>
      <c r="F7" s="16" t="s">
        <v>338</v>
      </c>
      <c r="G7" s="16" t="s">
        <v>339</v>
      </c>
      <c r="H7" s="16" t="s">
        <v>333</v>
      </c>
      <c r="I7" s="16"/>
    </row>
    <row r="8" customFormat="false" ht="39.75" hidden="false" customHeight="true" outlineLevel="0" collapsed="false">
      <c r="A8" s="16" t="s">
        <v>326</v>
      </c>
      <c r="B8" s="16" t="s">
        <v>340</v>
      </c>
      <c r="C8" s="16" t="s">
        <v>341</v>
      </c>
      <c r="D8" s="16" t="s">
        <v>329</v>
      </c>
      <c r="E8" s="16" t="s">
        <v>342</v>
      </c>
      <c r="F8" s="16" t="s">
        <v>343</v>
      </c>
      <c r="G8" s="16" t="s">
        <v>344</v>
      </c>
      <c r="H8" s="16" t="s">
        <v>333</v>
      </c>
      <c r="I8" s="16"/>
    </row>
    <row r="9" customFormat="false" ht="39.75" hidden="false" customHeight="true" outlineLevel="0" collapsed="false">
      <c r="A9" s="16" t="s">
        <v>326</v>
      </c>
      <c r="B9" s="16" t="s">
        <v>345</v>
      </c>
      <c r="C9" s="16" t="s">
        <v>346</v>
      </c>
      <c r="D9" s="16" t="s">
        <v>329</v>
      </c>
      <c r="E9" s="16" t="s">
        <v>347</v>
      </c>
      <c r="F9" s="16" t="s">
        <v>348</v>
      </c>
      <c r="G9" s="16" t="s">
        <v>349</v>
      </c>
      <c r="H9" s="16" t="s">
        <v>333</v>
      </c>
      <c r="I9" s="16" t="s">
        <v>350</v>
      </c>
    </row>
    <row r="10" customFormat="false" ht="39.75" hidden="false" customHeight="true" outlineLevel="0" collapsed="false">
      <c r="A10" s="16" t="s">
        <v>326</v>
      </c>
      <c r="B10" s="16" t="s">
        <v>351</v>
      </c>
      <c r="C10" s="16" t="s">
        <v>352</v>
      </c>
      <c r="D10" s="16" t="s">
        <v>353</v>
      </c>
      <c r="E10" s="16" t="s">
        <v>354</v>
      </c>
      <c r="F10" s="16" t="s">
        <v>355</v>
      </c>
      <c r="G10" s="16" t="s">
        <v>356</v>
      </c>
      <c r="H10" s="16" t="s">
        <v>333</v>
      </c>
      <c r="I10" s="16" t="s">
        <v>357</v>
      </c>
    </row>
    <row r="11" customFormat="false" ht="39.75" hidden="false" customHeight="true" outlineLevel="0" collapsed="false">
      <c r="A11" s="16" t="s">
        <v>358</v>
      </c>
      <c r="B11" s="16" t="s">
        <v>359</v>
      </c>
      <c r="C11" s="16" t="s">
        <v>360</v>
      </c>
      <c r="D11" s="16" t="s">
        <v>329</v>
      </c>
      <c r="E11" s="16" t="s">
        <v>361</v>
      </c>
      <c r="F11" s="16" t="s">
        <v>362</v>
      </c>
      <c r="G11" s="16" t="s">
        <v>363</v>
      </c>
      <c r="H11" s="16" t="s">
        <v>333</v>
      </c>
      <c r="I11" s="16"/>
    </row>
    <row r="12" customFormat="false" ht="39.75" hidden="false" customHeight="true" outlineLevel="0" collapsed="false">
      <c r="A12" s="16" t="s">
        <v>358</v>
      </c>
      <c r="B12" s="16" t="s">
        <v>364</v>
      </c>
      <c r="C12" s="16" t="s">
        <v>365</v>
      </c>
      <c r="D12" s="16" t="s">
        <v>353</v>
      </c>
      <c r="E12" s="16" t="s">
        <v>366</v>
      </c>
      <c r="F12" s="16" t="s">
        <v>367</v>
      </c>
      <c r="G12" s="16" t="s">
        <v>368</v>
      </c>
      <c r="H12" s="16" t="s">
        <v>333</v>
      </c>
      <c r="I12" s="16" t="s">
        <v>369</v>
      </c>
    </row>
    <row r="13" customFormat="false" ht="39.75" hidden="false" customHeight="true" outlineLevel="0" collapsed="false">
      <c r="A13" s="16" t="s">
        <v>370</v>
      </c>
      <c r="B13" s="16" t="s">
        <v>371</v>
      </c>
      <c r="C13" s="16" t="s">
        <v>372</v>
      </c>
      <c r="D13" s="16" t="s">
        <v>329</v>
      </c>
      <c r="E13" s="16" t="s">
        <v>373</v>
      </c>
      <c r="F13" s="16" t="s">
        <v>374</v>
      </c>
      <c r="G13" s="16" t="s">
        <v>375</v>
      </c>
      <c r="H13" s="16" t="s">
        <v>333</v>
      </c>
      <c r="I13" s="16"/>
    </row>
    <row r="14" customFormat="false" ht="39.75" hidden="false" customHeight="true" outlineLevel="0" collapsed="false">
      <c r="A14" s="16" t="s">
        <v>370</v>
      </c>
      <c r="B14" s="16" t="s">
        <v>376</v>
      </c>
      <c r="C14" s="16" t="s">
        <v>377</v>
      </c>
      <c r="D14" s="16" t="s">
        <v>329</v>
      </c>
      <c r="E14" s="16" t="s">
        <v>378</v>
      </c>
      <c r="F14" s="16" t="s">
        <v>379</v>
      </c>
      <c r="G14" s="16" t="s">
        <v>380</v>
      </c>
      <c r="H14" s="16" t="s">
        <v>333</v>
      </c>
      <c r="I14" s="16"/>
    </row>
    <row r="15" customFormat="false" ht="39.75" hidden="false" customHeight="true" outlineLevel="0" collapsed="false">
      <c r="A15" s="16" t="s">
        <v>370</v>
      </c>
      <c r="B15" s="16" t="s">
        <v>381</v>
      </c>
      <c r="C15" s="16" t="s">
        <v>382</v>
      </c>
      <c r="D15" s="16" t="s">
        <v>353</v>
      </c>
      <c r="E15" s="16" t="s">
        <v>383</v>
      </c>
      <c r="F15" s="16" t="s">
        <v>384</v>
      </c>
      <c r="G15" s="16" t="s">
        <v>385</v>
      </c>
      <c r="H15" s="16" t="s">
        <v>333</v>
      </c>
      <c r="I15" s="16" t="s">
        <v>386</v>
      </c>
    </row>
    <row r="17" customFormat="false" ht="15" hidden="false" customHeight="true" outlineLevel="0" collapsed="false">
      <c r="A17" s="4" t="s">
        <v>387</v>
      </c>
      <c r="B17" s="4"/>
      <c r="C17" s="4"/>
      <c r="D17" s="4"/>
      <c r="E17" s="4"/>
      <c r="F17" s="4"/>
      <c r="G17" s="4"/>
      <c r="H17" s="4"/>
      <c r="I17" s="4"/>
    </row>
    <row r="18" customFormat="false" ht="19.5" hidden="false" customHeight="true" outlineLevel="0" collapsed="false">
      <c r="A18" s="13" t="s">
        <v>319</v>
      </c>
      <c r="B18" s="13" t="s">
        <v>320</v>
      </c>
      <c r="C18" s="13" t="s">
        <v>321</v>
      </c>
      <c r="D18" s="13" t="s">
        <v>95</v>
      </c>
      <c r="E18" s="13" t="s">
        <v>322</v>
      </c>
      <c r="F18" s="13" t="s">
        <v>323</v>
      </c>
      <c r="G18" s="13" t="s">
        <v>324</v>
      </c>
      <c r="H18" s="13" t="s">
        <v>325</v>
      </c>
      <c r="I18" s="13" t="s">
        <v>54</v>
      </c>
    </row>
    <row r="19" customFormat="false" ht="39.75" hidden="false" customHeight="true" outlineLevel="0" collapsed="false">
      <c r="A19" s="17" t="s">
        <v>388</v>
      </c>
      <c r="B19" s="17" t="s">
        <v>389</v>
      </c>
      <c r="C19" s="17" t="s">
        <v>390</v>
      </c>
      <c r="D19" s="17" t="s">
        <v>329</v>
      </c>
      <c r="E19" s="17" t="s">
        <v>391</v>
      </c>
      <c r="F19" s="17" t="s">
        <v>392</v>
      </c>
      <c r="G19" s="17" t="s">
        <v>393</v>
      </c>
      <c r="H19" s="17" t="s">
        <v>394</v>
      </c>
      <c r="I19" s="17"/>
    </row>
    <row r="20" customFormat="false" ht="39.75" hidden="false" customHeight="true" outlineLevel="0" collapsed="false">
      <c r="A20" s="17" t="s">
        <v>395</v>
      </c>
      <c r="B20" s="17" t="s">
        <v>396</v>
      </c>
      <c r="C20" s="17" t="s">
        <v>397</v>
      </c>
      <c r="D20" s="17" t="s">
        <v>329</v>
      </c>
      <c r="E20" s="17" t="s">
        <v>398</v>
      </c>
      <c r="F20" s="17" t="s">
        <v>399</v>
      </c>
      <c r="G20" s="17" t="s">
        <v>400</v>
      </c>
      <c r="H20" s="17" t="s">
        <v>394</v>
      </c>
      <c r="I20" s="17"/>
    </row>
    <row r="21" customFormat="false" ht="39.75" hidden="false" customHeight="true" outlineLevel="0" collapsed="false">
      <c r="A21" s="17" t="s">
        <v>401</v>
      </c>
      <c r="B21" s="17" t="s">
        <v>402</v>
      </c>
      <c r="C21" s="17" t="s">
        <v>403</v>
      </c>
      <c r="D21" s="17" t="s">
        <v>329</v>
      </c>
      <c r="E21" s="17" t="s">
        <v>404</v>
      </c>
      <c r="F21" s="17" t="s">
        <v>405</v>
      </c>
      <c r="G21" s="17" t="s">
        <v>406</v>
      </c>
      <c r="H21" s="17" t="s">
        <v>407</v>
      </c>
      <c r="I21" s="17"/>
    </row>
  </sheetData>
  <mergeCells count="4">
    <mergeCell ref="A1:I1"/>
    <mergeCell ref="A2:I2"/>
    <mergeCell ref="A4:I4"/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2026-06-15T18:04:50Z</dcterms:created>
  <dc:creator>openpyxl</dc:creator>
  <dc:description/>
  <dc:language>en-US</dc:language>
  <cp:lastModifiedBy/>
  <dcterms:modified xsi:type="dcterms:W3CDTF">2026-06-15T18:05:23Z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