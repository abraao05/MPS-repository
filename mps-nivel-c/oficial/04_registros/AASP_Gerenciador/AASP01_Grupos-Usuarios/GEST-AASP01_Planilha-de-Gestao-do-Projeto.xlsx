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Visão Geral" sheetId="1" state="visible" r:id="rId1"/>
    <sheet xmlns:r="http://schemas.openxmlformats.org/officeDocument/2006/relationships" name="Cronograma" sheetId="2" state="visible" r:id="rId2"/>
    <sheet xmlns:r="http://schemas.openxmlformats.org/officeDocument/2006/relationships" name="Backlog" sheetId="3" state="visible" r:id="rId3"/>
    <sheet xmlns:r="http://schemas.openxmlformats.org/officeDocument/2006/relationships" name="Equipe" sheetId="4" state="visible" r:id="rId4"/>
    <sheet xmlns:r="http://schemas.openxmlformats.org/officeDocument/2006/relationships" name="Acompanhamento" sheetId="5" state="visible" r:id="rId5"/>
    <sheet xmlns:r="http://schemas.openxmlformats.org/officeDocument/2006/relationships" name="Riscos" sheetId="6" state="visible" r:id="rId6"/>
    <sheet xmlns:r="http://schemas.openxmlformats.org/officeDocument/2006/relationships" name="Change Requests" sheetId="7" state="visible" r:id="rId7"/>
    <sheet xmlns:r="http://schemas.openxmlformats.org/officeDocument/2006/relationships" name="Medição" sheetId="8" state="visible" r:id="rId8"/>
    <sheet xmlns:r="http://schemas.openxmlformats.org/officeDocument/2006/relationships" name="GQA" sheetId="9" state="visible" r:id="rId9"/>
    <sheet xmlns:r="http://schemas.openxmlformats.org/officeDocument/2006/relationships" name="V&amp;V — Testes" sheetId="10" state="visible" r:id="rId10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000000"/>
      <sz val="10"/>
    </font>
    <font>
      <name val="Arial"/>
      <charset val="1"/>
      <family val="0"/>
      <i val="1"/>
      <color rgb="FF595959"/>
      <sz val="10"/>
    </font>
    <font>
      <name val="Arial"/>
      <charset val="1"/>
      <family val="0"/>
      <color rgb="FF000000"/>
      <sz val="9"/>
    </font>
  </fonts>
  <fills count="8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2F2F2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0" fontId="8" fillId="0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9" fillId="6" borderId="2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7" fillId="4" borderId="1" applyAlignment="1" pivotButton="0" quotePrefix="0" xfId="0">
      <alignment horizontal="left" vertical="center"/>
    </xf>
    <xf numFmtId="0" fontId="8" fillId="0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9" fillId="6" borderId="2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2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2" customWidth="1" style="18" min="1" max="1"/>
    <col width="60" customWidth="1" style="18" min="2" max="2"/>
    <col width="12" customWidth="1" style="18" min="3" max="8"/>
  </cols>
  <sheetData>
    <row r="1" ht="21.75" customHeight="1" s="19">
      <c r="A1" s="20" t="inlineStr">
        <is>
          <t>GESTÃO DO PROJETO — GRUPOS DE USUÁRIOS · AASP GERENCIADOR</t>
        </is>
      </c>
    </row>
    <row r="2" ht="13.5" customHeight="1" s="19">
      <c r="A2" s="21" t="inlineStr">
        <is>
          <t>Planilha de Registros de Gestão · Timeware Brasil · Referência: AASP-GPR-001</t>
        </is>
      </c>
    </row>
    <row r="4" ht="15" customHeight="1" s="19">
      <c r="A4" s="22" t="inlineStr">
        <is>
          <t>IDENTIFICAÇÃO DO PROJETO</t>
        </is>
      </c>
      <c r="B4" s="23" t="n"/>
      <c r="C4" s="23" t="n"/>
      <c r="D4" s="23" t="n"/>
      <c r="E4" s="23" t="n"/>
      <c r="F4" s="23" t="n"/>
      <c r="G4" s="23" t="n"/>
      <c r="H4" s="24" t="n"/>
    </row>
    <row r="5" ht="15.75" customHeight="1" s="19">
      <c r="A5" s="25" t="inlineStr">
        <is>
          <t>Cliente</t>
        </is>
      </c>
      <c r="B5" s="26" t="inlineStr">
        <is>
          <t>AASP — Associação dos Advogados de São Paulo</t>
        </is>
      </c>
      <c r="C5" s="23" t="n"/>
      <c r="D5" s="23" t="n"/>
      <c r="E5" s="23" t="n"/>
      <c r="F5" s="23" t="n"/>
      <c r="G5" s="23" t="n"/>
      <c r="H5" s="23" t="n"/>
    </row>
    <row r="6" ht="15.75" customHeight="1" s="19">
      <c r="A6" s="25" t="inlineStr">
        <is>
          <t>Produto / sistema</t>
        </is>
      </c>
      <c r="B6" s="26" t="inlineStr">
        <is>
          <t>Feature AG — Grupos de Usuários · API ms.auxo.gruposusuarios · .NET Framework 4.7.2 / Dapper / SQL Server</t>
        </is>
      </c>
      <c r="C6" s="23" t="n"/>
      <c r="D6" s="23" t="n"/>
      <c r="E6" s="23" t="n"/>
      <c r="F6" s="23" t="n"/>
      <c r="G6" s="23" t="n"/>
      <c r="H6" s="23" t="n"/>
    </row>
    <row r="7" ht="15.75" customHeight="1" s="19">
      <c r="A7" s="25" t="inlineStr">
        <is>
          <t>Contrato</t>
        </is>
      </c>
      <c r="B7" s="26" t="inlineStr">
        <is>
          <t>Contrato de desenvolvimento Timeware × AASP — Gerenciador</t>
        </is>
      </c>
      <c r="C7" s="23" t="n"/>
      <c r="D7" s="23" t="n"/>
      <c r="E7" s="23" t="n"/>
      <c r="F7" s="23" t="n"/>
      <c r="G7" s="23" t="n"/>
      <c r="H7" s="23" t="n"/>
    </row>
    <row r="8" ht="15.75" customHeight="1" s="19">
      <c r="A8" s="25" t="inlineStr">
        <is>
          <t>Repositório</t>
        </is>
      </c>
      <c r="B8" s="26" t="inlineStr">
        <is>
          <t>Azure DevOps · komatsuhenry67/gerenciador-aasp/ms.auxo.gruposusuarios</t>
        </is>
      </c>
      <c r="C8" s="23" t="n"/>
      <c r="D8" s="23" t="n"/>
      <c r="E8" s="23" t="n"/>
      <c r="F8" s="23" t="n"/>
      <c r="G8" s="23" t="n"/>
      <c r="H8" s="23" t="n"/>
    </row>
    <row r="9" ht="15.75" customHeight="1" s="19">
      <c r="A9" s="25" t="inlineStr">
        <is>
          <t>Branch model</t>
        </is>
      </c>
      <c r="B9" s="26" t="inlineStr">
        <is>
          <t>Git Flow — main / develop / feature/* / release/*</t>
        </is>
      </c>
      <c r="C9" s="23" t="n"/>
      <c r="D9" s="23" t="n"/>
      <c r="E9" s="23" t="n"/>
      <c r="F9" s="23" t="n"/>
      <c r="G9" s="23" t="n"/>
      <c r="H9" s="23" t="n"/>
    </row>
    <row r="10" ht="15.75" customHeight="1" s="19">
      <c r="A10" s="25" t="inlineStr">
        <is>
          <t>Banco de dados</t>
        </is>
      </c>
      <c r="B10" s="26" t="inlineStr">
        <is>
          <t>SQL Server · banco auxo3 (principal) · banco temis3 (integração vinculos)</t>
        </is>
      </c>
      <c r="C10" s="23" t="n"/>
      <c r="D10" s="23" t="n"/>
      <c r="E10" s="23" t="n"/>
      <c r="F10" s="23" t="n"/>
      <c r="G10" s="23" t="n"/>
      <c r="H10" s="23" t="n"/>
    </row>
    <row r="11" ht="15.75" customHeight="1" s="19">
      <c r="A11" s="25" t="inlineStr">
        <is>
          <t>Integração</t>
        </is>
      </c>
      <c r="B11" s="26" t="inlineStr">
        <is>
          <t>ms.temis.vinculos — vinculação Usuário ↔ Grupo</t>
        </is>
      </c>
      <c r="C11" s="23" t="n"/>
      <c r="D11" s="23" t="n"/>
      <c r="E11" s="23" t="n"/>
      <c r="F11" s="23" t="n"/>
      <c r="G11" s="23" t="n"/>
      <c r="H11" s="23" t="n"/>
    </row>
    <row r="13" ht="15" customHeight="1" s="19">
      <c r="A13" s="22" t="inlineStr">
        <is>
          <t>RESPONSÁVEIS</t>
        </is>
      </c>
      <c r="B13" s="23" t="n"/>
      <c r="C13" s="23" t="n"/>
      <c r="D13" s="23" t="n"/>
      <c r="E13" s="23" t="n"/>
      <c r="F13" s="23" t="n"/>
      <c r="G13" s="23" t="n"/>
      <c r="H13" s="24" t="n"/>
    </row>
    <row r="14" ht="15" customHeight="1" s="19">
      <c r="A14" s="25" t="inlineStr">
        <is>
          <t>Gerente de Projeto</t>
        </is>
      </c>
      <c r="B14" s="27" t="inlineStr">
        <is>
          <t>Abraão — Timeware Brasil</t>
        </is>
      </c>
      <c r="C14" s="23" t="n"/>
      <c r="D14" s="23" t="n"/>
      <c r="E14" s="23" t="n"/>
      <c r="F14" s="23" t="n"/>
      <c r="G14" s="23" t="n"/>
      <c r="H14" s="23" t="n"/>
    </row>
    <row r="15" ht="15" customHeight="1" s="19">
      <c r="A15" s="25" t="inlineStr">
        <is>
          <t>Product Owner (cliente)</t>
        </is>
      </c>
      <c r="B15" s="27" t="inlineStr">
        <is>
          <t>Marcos Turnes — AASP</t>
        </is>
      </c>
      <c r="C15" s="23" t="n"/>
      <c r="D15" s="23" t="n"/>
      <c r="E15" s="23" t="n"/>
      <c r="F15" s="23" t="n"/>
      <c r="G15" s="23" t="n"/>
      <c r="H15" s="23" t="n"/>
    </row>
    <row r="16" ht="15" customHeight="1" s="19">
      <c r="A16" s="25" t="inlineStr">
        <is>
          <t>Equipe de desenvolvimento</t>
        </is>
      </c>
      <c r="B16" s="27" t="inlineStr">
        <is>
          <t>Renan Kiyoshi, Henry Komatsu, Mateus Veloso — Timeware (Arquiteto/Tech Lead: Cezar Hiraki)</t>
        </is>
      </c>
      <c r="C16" s="23" t="n"/>
      <c r="D16" s="23" t="n"/>
      <c r="E16" s="23" t="n"/>
      <c r="F16" s="23" t="n"/>
      <c r="G16" s="23" t="n"/>
      <c r="H16" s="23" t="n"/>
    </row>
    <row r="18" ht="15" customHeight="1" s="19">
      <c r="A18" s="22" t="inlineStr">
        <is>
          <t>DATAS DO PROJETO</t>
        </is>
      </c>
      <c r="B18" s="23" t="n"/>
      <c r="C18" s="23" t="n"/>
      <c r="D18" s="23" t="n"/>
      <c r="E18" s="23" t="n"/>
      <c r="F18" s="23" t="n"/>
      <c r="G18" s="23" t="n"/>
      <c r="H18" s="24" t="n"/>
    </row>
    <row r="19" ht="15" customHeight="1" s="19">
      <c r="A19" s="25" t="inlineStr">
        <is>
          <t>Início do projeto</t>
        </is>
      </c>
      <c r="B19" s="27" t="inlineStr">
        <is>
          <t>19/05/2026</t>
        </is>
      </c>
      <c r="C19" s="23" t="n"/>
      <c r="D19" s="23" t="n"/>
      <c r="E19" s="23" t="n"/>
      <c r="F19" s="23" t="n"/>
      <c r="G19" s="23" t="n"/>
      <c r="H19" s="23" t="n"/>
    </row>
    <row r="20" ht="15" customHeight="1" s="19">
      <c r="A20" s="25" t="inlineStr">
        <is>
          <t>Previsão de encerramento</t>
        </is>
      </c>
      <c r="B20" s="27" t="inlineStr">
        <is>
          <t>11/07/2026</t>
        </is>
      </c>
      <c r="C20" s="23" t="n"/>
      <c r="D20" s="23" t="n"/>
      <c r="E20" s="23" t="n"/>
      <c r="F20" s="23" t="n"/>
      <c r="G20" s="23" t="n"/>
      <c r="H20" s="23" t="n"/>
    </row>
    <row r="21" ht="15" customHeight="1" s="19">
      <c r="A21" s="25" t="inlineStr">
        <is>
          <t>Última atualização desta planilha</t>
        </is>
      </c>
      <c r="B21" s="27" t="inlineStr">
        <is>
          <t>15/06/2026</t>
        </is>
      </c>
      <c r="C21" s="23" t="n"/>
      <c r="D21" s="23" t="n"/>
      <c r="E21" s="23" t="n"/>
      <c r="F21" s="23" t="n"/>
      <c r="G21" s="23" t="n"/>
      <c r="H21" s="23" t="n"/>
    </row>
    <row r="23" ht="15" customHeight="1" s="19">
      <c r="A23" s="22" t="inlineStr">
        <is>
          <t>RESUMO DE STATUS</t>
        </is>
      </c>
      <c r="B23" s="23" t="n"/>
      <c r="C23" s="23" t="n"/>
      <c r="D23" s="23" t="n"/>
      <c r="E23" s="23" t="n"/>
      <c r="F23" s="23" t="n"/>
      <c r="G23" s="23" t="n"/>
      <c r="H23" s="24" t="n"/>
    </row>
    <row r="24" ht="15" customHeight="1" s="19">
      <c r="A24" s="25" t="inlineStr">
        <is>
          <t>Sprints totais planejadas</t>
        </is>
      </c>
      <c r="B24" s="27" t="inlineStr">
        <is>
          <t>4</t>
        </is>
      </c>
      <c r="C24" s="23" t="n"/>
      <c r="D24" s="23" t="n"/>
      <c r="E24" s="23" t="n"/>
      <c r="F24" s="23" t="n"/>
      <c r="G24" s="23" t="n"/>
      <c r="H24" s="23" t="n"/>
    </row>
    <row r="25" ht="15" customHeight="1" s="19">
      <c r="A25" s="25" t="inlineStr">
        <is>
          <t>Sprints concluídas</t>
        </is>
      </c>
      <c r="B25" s="27" t="inlineStr">
        <is>
          <t>1 (Sprint 1 — aceite 06/06/2026)</t>
        </is>
      </c>
      <c r="C25" s="23" t="n"/>
      <c r="D25" s="23" t="n"/>
      <c r="E25" s="23" t="n"/>
      <c r="F25" s="23" t="n"/>
      <c r="G25" s="23" t="n"/>
      <c r="H25" s="23" t="n"/>
    </row>
    <row r="26" ht="15" customHeight="1" s="19">
      <c r="A26" s="25" t="inlineStr">
        <is>
          <t>Sprint atual</t>
        </is>
      </c>
      <c r="B26" s="27" t="inlineStr">
        <is>
          <t>Sprint 2 — em andamento (09/06–20/06/2026)</t>
        </is>
      </c>
      <c r="C26" s="23" t="n"/>
      <c r="D26" s="23" t="n"/>
      <c r="E26" s="23" t="n"/>
      <c r="F26" s="23" t="n"/>
      <c r="G26" s="23" t="n"/>
      <c r="H26" s="23" t="n"/>
    </row>
    <row r="27" ht="15" customHeight="1" s="19">
      <c r="A27" s="25" t="inlineStr">
        <is>
          <t>Total de requisitos</t>
        </is>
      </c>
      <c r="B27" s="27" t="inlineStr">
        <is>
          <t>6 (AG-20 a AG-25)</t>
        </is>
      </c>
      <c r="C27" s="23" t="n"/>
      <c r="D27" s="23" t="n"/>
      <c r="E27" s="23" t="n"/>
      <c r="F27" s="23" t="n"/>
      <c r="G27" s="23" t="n"/>
      <c r="H27" s="23" t="n"/>
    </row>
    <row r="28" ht="15" customHeight="1" s="19">
      <c r="A28" s="25" t="inlineStr">
        <is>
          <t>Change Requests</t>
        </is>
      </c>
      <c r="B28" s="27" t="inlineStr">
        <is>
          <t>0 — nenhum CR registrado</t>
        </is>
      </c>
      <c r="C28" s="23" t="n"/>
      <c r="D28" s="23" t="n"/>
      <c r="E28" s="23" t="n"/>
      <c r="F28" s="23" t="n"/>
      <c r="G28" s="23" t="n"/>
      <c r="H28" s="23" t="n"/>
    </row>
    <row r="29" ht="15" customHeight="1" s="19">
      <c r="A29" s="25" t="inlineStr">
        <is>
          <t>Status geral</t>
        </is>
      </c>
      <c r="B29" s="27" t="inlineStr">
        <is>
          <t>🟡 Em andamento — Sprint 2 em progresso</t>
        </is>
      </c>
      <c r="C29" s="23" t="n"/>
      <c r="D29" s="23" t="n"/>
      <c r="E29" s="23" t="n"/>
      <c r="F29" s="23" t="n"/>
      <c r="G29" s="23" t="n"/>
      <c r="H29" s="23" t="n"/>
    </row>
  </sheetData>
  <mergeCells count="25">
    <mergeCell ref="B9:H9"/>
    <mergeCell ref="B6:H6"/>
    <mergeCell ref="B24:H24"/>
    <mergeCell ref="B15:H15"/>
    <mergeCell ref="A1:H1"/>
    <mergeCell ref="B5:H5"/>
    <mergeCell ref="B20:H20"/>
    <mergeCell ref="B26:H26"/>
    <mergeCell ref="B16:H16"/>
    <mergeCell ref="B7:H7"/>
    <mergeCell ref="B25:H25"/>
    <mergeCell ref="A18:H18"/>
    <mergeCell ref="B27:H27"/>
    <mergeCell ref="B21:H21"/>
    <mergeCell ref="A2:H2"/>
    <mergeCell ref="B11:H11"/>
    <mergeCell ref="A23:H23"/>
    <mergeCell ref="A4:H4"/>
    <mergeCell ref="B8:H8"/>
    <mergeCell ref="B14:H14"/>
    <mergeCell ref="A13:H13"/>
    <mergeCell ref="B29:H29"/>
    <mergeCell ref="B10:H10"/>
    <mergeCell ref="B19:H19"/>
    <mergeCell ref="B28:H2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8" min="1" max="1"/>
    <col width="14" customWidth="1" style="18" min="2" max="3"/>
    <col width="12" customWidth="1" style="18" min="4" max="4"/>
    <col width="7" customWidth="1" style="18" min="5" max="5"/>
    <col width="52" customWidth="1" style="18" min="6" max="6"/>
    <col width="18" customWidth="1" style="18" min="7" max="7"/>
    <col width="30" customWidth="1" style="18" min="8" max="8"/>
  </cols>
  <sheetData>
    <row r="1" ht="21.75" customHeight="1" s="19">
      <c r="A1" s="20" t="inlineStr">
        <is>
          <t>CRONOGRAMA DO PROJETO — MARCOS E SPRINTS</t>
        </is>
      </c>
    </row>
    <row r="2" ht="15" customHeight="1" s="19">
      <c r="A2" s="21" t="inlineStr">
        <is>
          <t>Referência: PLA-AASP01-001 §5.2  |  * SP = estimativas baseadas em complexidade das histórias</t>
        </is>
      </c>
    </row>
    <row r="4" ht="15" customHeight="1" s="19">
      <c r="A4" s="22" t="inlineStr">
        <is>
          <t>PLANEJAMENTO E ARQUITETURA</t>
        </is>
      </c>
      <c r="B4" s="23" t="n"/>
      <c r="C4" s="23" t="n"/>
      <c r="D4" s="23" t="n"/>
      <c r="E4" s="23" t="n"/>
      <c r="F4" s="23" t="n"/>
      <c r="G4" s="23" t="n"/>
      <c r="H4" s="24" t="n"/>
    </row>
    <row r="5" ht="15.75" customHeight="1" s="19">
      <c r="A5" s="28" t="inlineStr">
        <is>
          <t>Marco / Sprint</t>
        </is>
      </c>
      <c r="B5" s="28" t="inlineStr">
        <is>
          <t>Data Prevista</t>
        </is>
      </c>
      <c r="C5" s="28" t="inlineStr">
        <is>
          <t>Data Realizada</t>
        </is>
      </c>
      <c r="D5" s="28" t="inlineStr">
        <is>
          <t>Duração</t>
        </is>
      </c>
      <c r="E5" s="28" t="inlineStr">
        <is>
          <t>SP *</t>
        </is>
      </c>
      <c r="F5" s="28" t="inlineStr">
        <is>
          <t>Principais entregas</t>
        </is>
      </c>
      <c r="G5" s="28" t="inlineStr">
        <is>
          <t>Status</t>
        </is>
      </c>
      <c r="H5" s="28" t="inlineStr">
        <is>
          <t>Observação</t>
        </is>
      </c>
    </row>
    <row r="6" ht="15.75" customHeight="1" s="19">
      <c r="A6" s="29" t="inlineStr">
        <is>
          <t>Kickoff e Planejamento</t>
        </is>
      </c>
      <c r="B6" s="29" t="inlineStr">
        <is>
          <t>19/05/2026</t>
        </is>
      </c>
      <c r="C6" s="29" t="inlineStr">
        <is>
          <t>19/05/2026</t>
        </is>
      </c>
      <c r="D6" s="29" t="inlineStr">
        <is>
          <t>1 dia</t>
        </is>
      </c>
      <c r="E6" s="29" t="inlineStr">
        <is>
          <t>—</t>
        </is>
      </c>
      <c r="F6" s="29" t="inlineStr">
        <is>
          <t>ATA de Kickoff; TAP; PLA aprovados; escopo alinhado com Marcos Turnes</t>
        </is>
      </c>
      <c r="G6" s="29" t="inlineStr">
        <is>
          <t>✅ Concluído</t>
        </is>
      </c>
      <c r="H6" s="29" t="inlineStr">
        <is>
          <t>Reunião presencial AASP</t>
        </is>
      </c>
    </row>
    <row r="8" ht="15" customHeight="1" s="19">
      <c r="A8" s="22" t="inlineStr">
        <is>
          <t>SPRINTS DE DESENVOLVIMENTO</t>
        </is>
      </c>
      <c r="B8" s="23" t="n"/>
      <c r="C8" s="23" t="n"/>
      <c r="D8" s="23" t="n"/>
      <c r="E8" s="23" t="n"/>
      <c r="F8" s="23" t="n"/>
      <c r="G8" s="23" t="n"/>
      <c r="H8" s="24" t="n"/>
    </row>
    <row r="9" ht="15.75" customHeight="1" s="19">
      <c r="A9" s="28" t="inlineStr">
        <is>
          <t>Marco / Sprint</t>
        </is>
      </c>
      <c r="B9" s="28" t="inlineStr">
        <is>
          <t>Data Prevista</t>
        </is>
      </c>
      <c r="C9" s="28" t="inlineStr">
        <is>
          <t>Data Realizada</t>
        </is>
      </c>
      <c r="D9" s="28" t="inlineStr">
        <is>
          <t>Duração</t>
        </is>
      </c>
      <c r="E9" s="28" t="inlineStr">
        <is>
          <t>SP *</t>
        </is>
      </c>
      <c r="F9" s="28" t="inlineStr">
        <is>
          <t>Principais entregas</t>
        </is>
      </c>
      <c r="G9" s="28" t="inlineStr">
        <is>
          <t>Status</t>
        </is>
      </c>
      <c r="H9" s="28" t="inlineStr">
        <is>
          <t>Observação</t>
        </is>
      </c>
    </row>
    <row r="10" ht="27.75" customHeight="1" s="19">
      <c r="A10" s="30" t="inlineStr">
        <is>
          <t>Sprint 1</t>
        </is>
      </c>
      <c r="B10" s="30" t="inlineStr">
        <is>
          <t>26/05/2026</t>
        </is>
      </c>
      <c r="C10" s="30" t="inlineStr">
        <is>
          <t>06/06/2026</t>
        </is>
      </c>
      <c r="D10" s="30" t="inlineStr">
        <is>
          <t>2 semanas</t>
        </is>
      </c>
      <c r="E10" s="30" t="n">
        <v>34</v>
      </c>
      <c r="F10" s="30" t="inlineStr">
        <is>
          <t>AG-20 (CRUD Grupos), AG-21 (Função), AG-22 (Vínculo Usuário↔Grupo); endpoints GET/POST (api/gerenciar/grupos); testes unitários</t>
        </is>
      </c>
      <c r="G10" s="30" t="inlineStr">
        <is>
          <t>✅ Concluído</t>
        </is>
      </c>
      <c r="H10" s="30" t="inlineStr">
        <is>
          <t>Aceite formal Marcos Turnes 06/06/2026</t>
        </is>
      </c>
    </row>
    <row r="11" ht="27.75" customHeight="1" s="19">
      <c r="A11" s="31" t="inlineStr">
        <is>
          <t>Sprint 2</t>
        </is>
      </c>
      <c r="B11" s="31" t="inlineStr">
        <is>
          <t>09/06/2026</t>
        </is>
      </c>
      <c r="C11" s="31" t="inlineStr">
        <is>
          <t>20/06/2026</t>
        </is>
      </c>
      <c r="D11" s="31" t="inlineStr">
        <is>
          <t>2 semanas</t>
        </is>
      </c>
      <c r="E11" s="31" t="n">
        <v>28</v>
      </c>
      <c r="F11" s="31" t="inlineStr">
        <is>
          <t>AG-23 (Auditoria/Log), AG-24 (Integração ms.temis.vinculos); testes de integração</t>
        </is>
      </c>
      <c r="G11" s="31" t="inlineStr">
        <is>
          <t>🔄 Em andamento</t>
        </is>
      </c>
      <c r="H11" s="31" t="inlineStr">
        <is>
          <t>Sprint atual — 60% concluído (est.)</t>
        </is>
      </c>
    </row>
    <row r="12" ht="27.75" customHeight="1" s="19">
      <c r="A12" s="29" t="inlineStr">
        <is>
          <t>Sprint 3</t>
        </is>
      </c>
      <c r="B12" s="29" t="inlineStr">
        <is>
          <t>23/06/2026</t>
        </is>
      </c>
      <c r="C12" s="29" t="inlineStr">
        <is>
          <t>04/07/2026</t>
        </is>
      </c>
      <c r="D12" s="29" t="inlineStr">
        <is>
          <t>2 semanas</t>
        </is>
      </c>
      <c r="E12" s="29" t="n">
        <v>20</v>
      </c>
      <c r="F12" s="29" t="inlineStr">
        <is>
          <t>AG-25 (Relatórios de Grupos); ajustes de performance; documentação técnica</t>
        </is>
      </c>
      <c r="G12" s="29" t="inlineStr">
        <is>
          <t>📅 Planejado</t>
        </is>
      </c>
      <c r="H12" s="29" t="n"/>
    </row>
    <row r="13" ht="27.75" customHeight="1" s="19">
      <c r="A13" s="29" t="n"/>
      <c r="B13" s="29" t="n"/>
      <c r="C13" s="29" t="n"/>
      <c r="D13" s="29" t="n"/>
      <c r="E13" s="29" t="n"/>
      <c r="F13" s="29" t="n"/>
      <c r="G13" s="29" t="inlineStr">
        <is>
          <t>📅 Planejado</t>
        </is>
      </c>
      <c r="H13" s="29" t="inlineStr">
        <is>
          <t>Encerramento do projeto</t>
        </is>
      </c>
    </row>
    <row r="15" ht="15" customHeight="1" s="19">
      <c r="A15" s="22" t="inlineStr">
        <is>
          <t>RESUMO DE SP</t>
        </is>
      </c>
      <c r="B15" s="23" t="n"/>
      <c r="C15" s="23" t="n"/>
      <c r="D15" s="23" t="n"/>
      <c r="E15" s="23" t="n"/>
      <c r="F15" s="23" t="n"/>
      <c r="G15" s="23" t="n"/>
      <c r="H15" s="24" t="n"/>
    </row>
    <row r="16" ht="15" customHeight="1" s="19">
      <c r="A16" s="25" t="inlineStr">
        <is>
          <t>Total SP planejado (est.)</t>
        </is>
      </c>
      <c r="B16" s="27">
        <f>E10+E11+E12+E13</f>
        <v/>
      </c>
      <c r="C16" s="23" t="n"/>
      <c r="D16" s="23" t="n"/>
      <c r="E16" s="23" t="n"/>
      <c r="F16" s="23" t="n"/>
      <c r="G16" s="23" t="n"/>
      <c r="H16" s="23" t="n"/>
    </row>
    <row r="17" ht="15" customHeight="1" s="19">
      <c r="A17" s="25" t="inlineStr">
        <is>
          <t>SP realizados Sprint 1</t>
        </is>
      </c>
      <c r="B17" s="27" t="inlineStr">
        <is>
          <t>34</t>
        </is>
      </c>
      <c r="C17" s="23" t="n"/>
      <c r="D17" s="23" t="n"/>
      <c r="E17" s="23" t="n"/>
      <c r="F17" s="23" t="n"/>
      <c r="G17" s="23" t="n"/>
      <c r="H17" s="23" t="n"/>
    </row>
    <row r="18" ht="15" customHeight="1" s="19">
      <c r="A18" s="25" t="inlineStr">
        <is>
          <t>SP em andamento Sprint 2</t>
        </is>
      </c>
      <c r="B18" s="27" t="inlineStr">
        <is>
          <t>~17 (50% de 28 est.)</t>
        </is>
      </c>
      <c r="C18" s="23" t="n"/>
      <c r="D18" s="23" t="n"/>
      <c r="E18" s="23" t="n"/>
      <c r="F18" s="23" t="n"/>
      <c r="G18" s="23" t="n"/>
      <c r="H18" s="23" t="n"/>
    </row>
  </sheetData>
  <mergeCells count="8">
    <mergeCell ref="A4:H4"/>
    <mergeCell ref="B17:H17"/>
    <mergeCell ref="B18:H18"/>
    <mergeCell ref="A15:H15"/>
    <mergeCell ref="A2:H2"/>
    <mergeCell ref="B16:H16"/>
    <mergeCell ref="A1:H1"/>
    <mergeCell ref="A8:H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I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18" min="1" max="1"/>
    <col width="58" customWidth="1" style="18" min="2" max="2"/>
    <col width="8" customWidth="1" style="18" min="3" max="3"/>
    <col width="7" customWidth="1" style="18" min="4" max="4"/>
    <col width="12" customWidth="1" style="18" min="5" max="5"/>
    <col width="11" customWidth="1" style="18" min="6" max="6"/>
    <col width="18" customWidth="1" style="18" min="7" max="7"/>
    <col width="8" customWidth="1" style="18" min="8" max="8"/>
    <col width="35" customWidth="1" style="18" min="9" max="9"/>
  </cols>
  <sheetData>
    <row r="1" ht="21.75" customHeight="1" s="19">
      <c r="A1" s="20" t="inlineStr">
        <is>
          <t>BACKLOG DO PROJETO — REQUISITOS</t>
        </is>
      </c>
    </row>
    <row r="2" ht="15" customHeight="1" s="19">
      <c r="A2" s="21" t="inlineStr">
        <is>
          <t>Referência: REQ-AASP01-001  |  * SP = estimativas baseadas em complexidade declarada</t>
        </is>
      </c>
    </row>
    <row r="4" ht="15" customHeight="1" s="19">
      <c r="A4" s="22" t="inlineStr">
        <is>
          <t>REQUISITOS FUNCIONAIS</t>
        </is>
      </c>
      <c r="B4" s="23" t="n"/>
      <c r="C4" s="23" t="n"/>
      <c r="D4" s="23" t="n"/>
      <c r="E4" s="23" t="n"/>
      <c r="F4" s="23" t="n"/>
      <c r="G4" s="23" t="n"/>
      <c r="H4" s="23" t="n"/>
      <c r="I4" s="24" t="n"/>
    </row>
    <row r="5" ht="15.75" customHeight="1" s="19">
      <c r="A5" s="28" t="inlineStr">
        <is>
          <t>ID</t>
        </is>
      </c>
      <c r="B5" s="28" t="inlineStr">
        <is>
          <t>Descrição</t>
        </is>
      </c>
      <c r="C5" s="28" t="inlineStr">
        <is>
          <t>Tipo</t>
        </is>
      </c>
      <c r="D5" s="28" t="inlineStr">
        <is>
          <t>SP *</t>
        </is>
      </c>
      <c r="E5" s="28" t="inlineStr">
        <is>
          <t>Sprint</t>
        </is>
      </c>
      <c r="F5" s="28" t="inlineStr">
        <is>
          <t>Prioridade</t>
        </is>
      </c>
      <c r="G5" s="28" t="inlineStr">
        <is>
          <t>Status</t>
        </is>
      </c>
      <c r="H5" s="28" t="inlineStr">
        <is>
          <t>CR</t>
        </is>
      </c>
      <c r="I5" s="28" t="inlineStr">
        <is>
          <t>Observação</t>
        </is>
      </c>
    </row>
    <row r="6" ht="36" customHeight="1" s="19">
      <c r="A6" s="30" t="inlineStr">
        <is>
          <t>AG-20</t>
        </is>
      </c>
      <c r="B6" s="30" t="inlineStr">
        <is>
          <t>CRUD de Grupos de Usuários — criação, listagem, consulta, alteração, exclusão lógica (soft delete) e ativação/desativação; endpoints incluirgrupo, listargrupo, buscargrupoporid, alterargrupo, excluirgrupo, ativardesativar (api/gerenciar/grupos)</t>
        </is>
      </c>
      <c r="C6" s="30" t="inlineStr">
        <is>
          <t>RF</t>
        </is>
      </c>
      <c r="D6" s="30" t="n">
        <v>13</v>
      </c>
      <c r="E6" s="30" t="inlineStr">
        <is>
          <t>Sprint 1</t>
        </is>
      </c>
      <c r="F6" s="30" t="inlineStr">
        <is>
          <t>Alta</t>
        </is>
      </c>
      <c r="G6" s="30" t="inlineStr">
        <is>
          <t>✅ Concluído</t>
        </is>
      </c>
      <c r="H6" s="30" t="inlineStr">
        <is>
          <t>—</t>
        </is>
      </c>
      <c r="I6" s="30" t="inlineStr">
        <is>
          <t>Endpoints validados no Swagger; PR #11 e #12 aprovados</t>
        </is>
      </c>
    </row>
    <row r="7" ht="36" customHeight="1" s="19">
      <c r="A7" s="30" t="inlineStr">
        <is>
          <t>AG-21</t>
        </is>
      </c>
      <c r="B7" s="30" t="inlineStr">
        <is>
          <t>Função do Usuário no Grupo — definição do papel do usuário (Usuario/Administrador); endpoint alterarfuncaodousuario</t>
        </is>
      </c>
      <c r="C7" s="30" t="inlineStr">
        <is>
          <t>RF</t>
        </is>
      </c>
      <c r="D7" s="30" t="n">
        <v>11</v>
      </c>
      <c r="E7" s="30" t="inlineStr">
        <is>
          <t>Sprint 1</t>
        </is>
      </c>
      <c r="F7" s="30" t="inlineStr">
        <is>
          <t>Alta</t>
        </is>
      </c>
      <c r="G7" s="30" t="inlineStr">
        <is>
          <t>✅ Concluído</t>
        </is>
      </c>
      <c r="H7" s="30" t="inlineStr">
        <is>
          <t>—</t>
        </is>
      </c>
      <c r="I7" s="30" t="inlineStr">
        <is>
          <t>PR #13 aprovado; 8 testes unitários</t>
        </is>
      </c>
    </row>
    <row r="8" ht="36" customHeight="1" s="19">
      <c r="A8" s="30" t="inlineStr">
        <is>
          <t>AG-22</t>
        </is>
      </c>
      <c r="B8" s="30" t="inlineStr">
        <is>
          <t>Vinculação Usuário ↔ Grupo — usuários enviados na lista grupoDeUsuarios de incluirgrupo/alterargrupo; remoção via removerusuario</t>
        </is>
      </c>
      <c r="C8" s="30" t="inlineStr">
        <is>
          <t>RF</t>
        </is>
      </c>
      <c r="D8" s="30" t="n">
        <v>10</v>
      </c>
      <c r="E8" s="30" t="inlineStr">
        <is>
          <t>Sprint 1</t>
        </is>
      </c>
      <c r="F8" s="30" t="inlineStr">
        <is>
          <t>Alta</t>
        </is>
      </c>
      <c r="G8" s="30" t="inlineStr">
        <is>
          <t>✅ Concluído</t>
        </is>
      </c>
      <c r="H8" s="30" t="inlineStr">
        <is>
          <t>—</t>
        </is>
      </c>
      <c r="I8" s="30" t="inlineStr">
        <is>
          <t>PR #14 e #15 aprovados; aceite Marcos 06/06</t>
        </is>
      </c>
    </row>
    <row r="9" ht="36" customHeight="1" s="19">
      <c r="A9" s="31" t="inlineStr">
        <is>
          <t>AG-23</t>
        </is>
      </c>
      <c r="B9" s="31" t="inlineStr">
        <is>
          <t>Auditoria e Log de Ações (planejado — Sprint 2) — registro das operações de escrita em grupos com usuário, timestamp e ação</t>
        </is>
      </c>
      <c r="C9" s="31" t="inlineStr">
        <is>
          <t>RF</t>
        </is>
      </c>
      <c r="D9" s="31" t="n">
        <v>13</v>
      </c>
      <c r="E9" s="31" t="inlineStr">
        <is>
          <t>Sprint 2</t>
        </is>
      </c>
      <c r="F9" s="31" t="inlineStr">
        <is>
          <t>Média</t>
        </is>
      </c>
      <c r="G9" s="31" t="inlineStr">
        <is>
          <t>🔄 Em andamento</t>
        </is>
      </c>
      <c r="H9" s="31" t="inlineStr">
        <is>
          <t>—</t>
        </is>
      </c>
      <c r="I9" s="31" t="inlineStr">
        <is>
          <t>70% implementado; tabela criada, triggers em revisão</t>
        </is>
      </c>
    </row>
    <row r="10" ht="36" customHeight="1" s="19">
      <c r="A10" s="31" t="inlineStr">
        <is>
          <t>AG-24</t>
        </is>
      </c>
      <c r="B10" s="31" t="inlineStr">
        <is>
          <t>Integração ms.temis.vinculos (planejado — Sprint 2) — sincronização de vínculos entre auxo3 e temis3 via HTTP</t>
        </is>
      </c>
      <c r="C10" s="31" t="inlineStr">
        <is>
          <t>RF</t>
        </is>
      </c>
      <c r="D10" s="31" t="n">
        <v>15</v>
      </c>
      <c r="E10" s="31" t="inlineStr">
        <is>
          <t>Sprint 2</t>
        </is>
      </c>
      <c r="F10" s="31" t="inlineStr">
        <is>
          <t>Alta</t>
        </is>
      </c>
      <c r="G10" s="31" t="inlineStr">
        <is>
          <t>🔄 Em andamento</t>
        </is>
      </c>
      <c r="H10" s="31" t="inlineStr">
        <is>
          <t>—</t>
        </is>
      </c>
      <c r="I10" s="31" t="inlineStr">
        <is>
          <t>Contrato de API definido; implementação em andamento</t>
        </is>
      </c>
    </row>
    <row r="11" ht="36" customHeight="1" s="19">
      <c r="A11" s="29" t="inlineStr">
        <is>
          <t>AG-25</t>
        </is>
      </c>
      <c r="B11" s="29" t="inlineStr">
        <is>
          <t>Relatórios de Grupos (planejado — Sprint 3) — consulta consolidada de grupos e membros; exportação CSV</t>
        </is>
      </c>
      <c r="C11" s="29" t="inlineStr">
        <is>
          <t>RF</t>
        </is>
      </c>
      <c r="D11" s="29" t="n">
        <v>10</v>
      </c>
      <c r="E11" s="29" t="inlineStr">
        <is>
          <t>Sprint 3</t>
        </is>
      </c>
      <c r="F11" s="29" t="inlineStr">
        <is>
          <t>Média</t>
        </is>
      </c>
      <c r="G11" s="29" t="inlineStr">
        <is>
          <t>📅 Planejado</t>
        </is>
      </c>
      <c r="H11" s="29" t="inlineStr">
        <is>
          <t>—</t>
        </is>
      </c>
      <c r="I11" s="29" t="n"/>
    </row>
    <row r="13" ht="15" customHeight="1" s="19">
      <c r="A13" s="22" t="inlineStr">
        <is>
          <t>REQUISITOS NÃO FUNCIONAIS</t>
        </is>
      </c>
      <c r="B13" s="23" t="n"/>
      <c r="C13" s="23" t="n"/>
      <c r="D13" s="23" t="n"/>
      <c r="E13" s="23" t="n"/>
      <c r="F13" s="23" t="n"/>
      <c r="G13" s="23" t="n"/>
      <c r="H13" s="23" t="n"/>
      <c r="I13" s="24" t="n"/>
    </row>
    <row r="14" ht="15.75" customHeight="1" s="19">
      <c r="A14" s="28" t="inlineStr">
        <is>
          <t>ID</t>
        </is>
      </c>
      <c r="B14" s="28" t="inlineStr">
        <is>
          <t>Descrição</t>
        </is>
      </c>
      <c r="C14" s="28" t="inlineStr">
        <is>
          <t>Tipo</t>
        </is>
      </c>
      <c r="D14" s="28" t="inlineStr">
        <is>
          <t>SP *</t>
        </is>
      </c>
      <c r="E14" s="28" t="inlineStr">
        <is>
          <t>Sprint</t>
        </is>
      </c>
      <c r="F14" s="28" t="inlineStr">
        <is>
          <t>Prioridade</t>
        </is>
      </c>
      <c r="G14" s="28" t="inlineStr">
        <is>
          <t>Status</t>
        </is>
      </c>
      <c r="H14" s="28" t="inlineStr">
        <is>
          <t>CR</t>
        </is>
      </c>
      <c r="I14" s="28" t="inlineStr">
        <is>
          <t>Observação</t>
        </is>
      </c>
    </row>
    <row r="15" ht="27.75" customHeight="1" s="19">
      <c r="A15" s="30" t="inlineStr">
        <is>
          <t>RNF-01</t>
        </is>
      </c>
      <c r="B15" s="30" t="inlineStr">
        <is>
          <t>Performance — APIs devem responder em ≤ 500ms para 95% das requisições sob carga normal (até 50 req/s)</t>
        </is>
      </c>
      <c r="C15" s="30" t="inlineStr">
        <is>
          <t>RNF</t>
        </is>
      </c>
      <c r="D15" s="30" t="n">
        <v>2</v>
      </c>
      <c r="E15" s="30" t="inlineStr">
        <is>
          <t>Sprint 1–3</t>
        </is>
      </c>
      <c r="F15" s="30" t="inlineStr">
        <is>
          <t>Alta</t>
        </is>
      </c>
      <c r="G15" s="30" t="inlineStr">
        <is>
          <t>✅ Meta atingida</t>
        </is>
      </c>
      <c r="H15" s="30" t="inlineStr">
        <is>
          <t>—</t>
        </is>
      </c>
      <c r="I15" s="30" t="inlineStr">
        <is>
          <t>Monitorado via MED-AASP01-001</t>
        </is>
      </c>
    </row>
    <row r="16" ht="27.75" customHeight="1" s="19">
      <c r="A16" s="30" t="inlineStr">
        <is>
          <t>RNF-02</t>
        </is>
      </c>
      <c r="B16" s="30" t="inlineStr">
        <is>
          <t>Segurança — autenticação JWT obrigatória em todos os endpoints; HTTPS; sem exposição de dados sensíveis nos logs</t>
        </is>
      </c>
      <c r="C16" s="30" t="inlineStr">
        <is>
          <t>RNF</t>
        </is>
      </c>
      <c r="D16" s="30" t="n">
        <v>2</v>
      </c>
      <c r="E16" s="30" t="inlineStr">
        <is>
          <t>Sprint 1–3</t>
        </is>
      </c>
      <c r="F16" s="30" t="inlineStr">
        <is>
          <t>Alta</t>
        </is>
      </c>
      <c r="G16" s="30" t="inlineStr">
        <is>
          <t>✅ Implementado</t>
        </is>
      </c>
      <c r="H16" s="30" t="inlineStr">
        <is>
          <t>—</t>
        </is>
      </c>
      <c r="I16" s="30" t="inlineStr">
        <is>
          <t>Validado em REV-AASP01-001</t>
        </is>
      </c>
    </row>
    <row r="17" ht="27.75" customHeight="1" s="19">
      <c r="A17" s="31" t="inlineStr">
        <is>
          <t>RNF-03</t>
        </is>
      </c>
      <c r="B17" s="31" t="inlineStr">
        <is>
          <t>Rastreabilidade — todas as alterações em grupos devem ser auditáveis conforme AG-23</t>
        </is>
      </c>
      <c r="C17" s="31" t="inlineStr">
        <is>
          <t>RNF</t>
        </is>
      </c>
      <c r="D17" s="31" t="n">
        <v>1</v>
      </c>
      <c r="E17" s="31" t="inlineStr">
        <is>
          <t>Sprint 2</t>
        </is>
      </c>
      <c r="F17" s="31" t="inlineStr">
        <is>
          <t>Média</t>
        </is>
      </c>
      <c r="G17" s="31" t="inlineStr">
        <is>
          <t>🔄 Pendente AG-23</t>
        </is>
      </c>
      <c r="H17" s="31" t="inlineStr">
        <is>
          <t>—</t>
        </is>
      </c>
      <c r="I17" s="31" t="inlineStr">
        <is>
          <t>Dependente de AG-23</t>
        </is>
      </c>
    </row>
  </sheetData>
  <mergeCells count="4">
    <mergeCell ref="A1:I1"/>
    <mergeCell ref="A4:I4"/>
    <mergeCell ref="A13:I13"/>
    <mergeCell ref="A2:I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2" customWidth="1" style="18" min="1" max="1"/>
    <col width="14" customWidth="1" style="18" min="2" max="2"/>
    <col width="50" customWidth="1" style="18" min="3" max="3"/>
    <col width="14" customWidth="1" style="18" min="4" max="4"/>
    <col width="12" customWidth="1" style="18" min="5" max="5"/>
    <col width="16" customWidth="1" style="18" min="6" max="6"/>
    <col width="28" customWidth="1" style="18" min="7" max="7"/>
  </cols>
  <sheetData>
    <row r="1" ht="21.75" customHeight="1" s="19">
      <c r="A1" s="20" t="inlineStr">
        <is>
          <t>EQUIPE DO PROJETO</t>
        </is>
      </c>
    </row>
    <row r="2" ht="15" customHeight="1" s="19">
      <c r="A2" s="21" t="inlineStr">
        <is>
          <t>Referência: TAP-AASP01-001 · PLA-AASP01-001 §6</t>
        </is>
      </c>
    </row>
    <row r="4" ht="15" customHeight="1" s="19">
      <c r="A4" s="22" t="inlineStr">
        <is>
          <t>EQUIPE TIMEWARE</t>
        </is>
      </c>
      <c r="B4" s="23" t="n"/>
      <c r="C4" s="23" t="n"/>
      <c r="D4" s="23" t="n"/>
      <c r="E4" s="23" t="n"/>
      <c r="F4" s="23" t="n"/>
      <c r="G4" s="24" t="n"/>
    </row>
    <row r="5" ht="15.75" customHeight="1" s="19">
      <c r="A5" s="28" t="inlineStr">
        <is>
          <t>Nome / Papel</t>
        </is>
      </c>
      <c r="B5" s="28" t="inlineStr">
        <is>
          <t>Organização</t>
        </is>
      </c>
      <c r="C5" s="28" t="inlineStr">
        <is>
          <t>Responsabilidade</t>
        </is>
      </c>
      <c r="D5" s="28" t="inlineStr">
        <is>
          <t>Sprints ativos</t>
        </is>
      </c>
      <c r="E5" s="28" t="inlineStr">
        <is>
          <t>Alocação</t>
        </is>
      </c>
      <c r="F5" s="28" t="inlineStr">
        <is>
          <t>Capacity</t>
        </is>
      </c>
      <c r="G5" s="28" t="inlineStr">
        <is>
          <t>Observação</t>
        </is>
      </c>
    </row>
    <row r="6" ht="27.75" customHeight="1" s="19">
      <c r="A6" s="29" t="inlineStr">
        <is>
          <t>Abraão — Gerente de Projeto</t>
        </is>
      </c>
      <c r="B6" s="29" t="inlineStr">
        <is>
          <t>Timeware</t>
        </is>
      </c>
      <c r="C6" s="29" t="inlineStr">
        <is>
          <t>Gestão do projeto, cronograma, riscos, medição, comunicação com o cliente</t>
        </is>
      </c>
      <c r="D6" s="29" t="inlineStr">
        <is>
          <t>1–4</t>
        </is>
      </c>
      <c r="E6" s="29" t="inlineStr">
        <is>
          <t>Integral</t>
        </is>
      </c>
      <c r="F6" s="29" t="inlineStr">
        <is>
          <t>—</t>
        </is>
      </c>
      <c r="G6" s="29" t="inlineStr">
        <is>
          <t>Ponto focal de gestão Timeware</t>
        </is>
      </c>
    </row>
    <row r="7" ht="27.75" customHeight="1" s="19">
      <c r="A7" s="29" t="inlineStr">
        <is>
          <t>Cezar Hiraki — Arquiteto / Tech Lead / DevOps / Revisor de PRs</t>
        </is>
      </c>
      <c r="B7" s="29" t="inlineStr">
        <is>
          <t>Timeware</t>
        </is>
      </c>
      <c r="C7" s="29" t="inlineStr">
        <is>
          <t>Arquitetura técnica, code review e PRs, pipeline CI/CD, baselines (GCO)</t>
        </is>
      </c>
      <c r="D7" s="29" t="inlineStr">
        <is>
          <t>1–3</t>
        </is>
      </c>
      <c r="E7" s="29" t="inlineStr">
        <is>
          <t>Integral</t>
        </is>
      </c>
      <c r="F7" s="29" t="inlineStr">
        <is>
          <t>Incluído na capacity</t>
        </is>
      </c>
      <c r="G7" s="29" t="inlineStr">
        <is>
          <t>Ponto focal técnico Timeware</t>
        </is>
      </c>
    </row>
    <row r="8">
      <c r="A8" s="18" t="inlineStr">
        <is>
          <t>Equipe de desenvolvimento + Qualidade</t>
        </is>
      </c>
      <c r="B8" s="18" t="inlineStr">
        <is>
          <t>Timeware</t>
        </is>
      </c>
      <c r="C8" s="18" t="inlineStr">
        <is>
          <t>Devs: Renan Kiyoshi, Henry Komatsu, Mateus Veloso · QA: Caroline Sousa · GQA: Jonathan</t>
        </is>
      </c>
      <c r="D8" s="18" t="inlineStr">
        <is>
          <t>1–4</t>
        </is>
      </c>
      <c r="E8" s="18" t="inlineStr">
        <is>
          <t>Integral</t>
        </is>
      </c>
      <c r="F8" s="18" t="inlineStr">
        <is>
          <t>3 devs-sprint</t>
        </is>
      </c>
      <c r="G8" s="18" t="inlineStr">
        <is>
          <t>QA e GQA garantem verificação independente</t>
        </is>
      </c>
    </row>
    <row r="9" ht="15" customHeight="1" s="19">
      <c r="A9" s="22" t="inlineStr">
        <is>
          <t>EQUIPE AASP (CLIENTE)</t>
        </is>
      </c>
      <c r="B9" s="23" t="n"/>
      <c r="C9" s="23" t="n"/>
      <c r="D9" s="23" t="n"/>
      <c r="E9" s="23" t="n"/>
      <c r="F9" s="23" t="n"/>
      <c r="G9" s="24" t="n"/>
    </row>
    <row r="10" ht="15.75" customHeight="1" s="19">
      <c r="A10" s="28" t="inlineStr">
        <is>
          <t>Nome / Papel</t>
        </is>
      </c>
      <c r="B10" s="28" t="inlineStr">
        <is>
          <t>Organização</t>
        </is>
      </c>
      <c r="C10" s="28" t="inlineStr">
        <is>
          <t>Responsabilidade</t>
        </is>
      </c>
      <c r="D10" s="28" t="inlineStr">
        <is>
          <t>Sprints ativos</t>
        </is>
      </c>
      <c r="E10" s="28" t="inlineStr">
        <is>
          <t>Alocação</t>
        </is>
      </c>
      <c r="F10" s="28" t="inlineStr">
        <is>
          <t>Capacity</t>
        </is>
      </c>
      <c r="G10" s="28" t="inlineStr">
        <is>
          <t>Observação</t>
        </is>
      </c>
    </row>
    <row r="11" ht="24" customHeight="1" s="19">
      <c r="A11" s="32" t="inlineStr">
        <is>
          <t>Marcos Turnes — Product Owner</t>
        </is>
      </c>
      <c r="B11" s="32" t="inlineStr">
        <is>
          <t>AASP</t>
        </is>
      </c>
      <c r="C11" s="32" t="inlineStr">
        <is>
          <t>Validação de requisitos, aceite de sprint, priorização de backlog, homologação final</t>
        </is>
      </c>
      <c r="D11" s="32" t="inlineStr">
        <is>
          <t>1–4</t>
        </is>
      </c>
      <c r="E11" s="32" t="inlineStr">
        <is>
          <t>Parcial</t>
        </is>
      </c>
      <c r="F11" s="32" t="inlineStr">
        <is>
          <t>—</t>
        </is>
      </c>
      <c r="G11" s="32" t="inlineStr">
        <is>
          <t>PO e representante cliente</t>
        </is>
      </c>
    </row>
    <row r="12" ht="24" customHeight="1" s="19">
      <c r="A12" s="32" t="inlineStr">
        <is>
          <t>Leonardo Francisco Pereira — QA / Homologação</t>
        </is>
      </c>
      <c r="B12" s="32" t="inlineStr">
        <is>
          <t>AASP</t>
        </is>
      </c>
      <c r="C12" s="32" t="inlineStr">
        <is>
          <t>Execução de cenários de aceite, validação de interface, aprovação de testes de homologação</t>
        </is>
      </c>
      <c r="D12" s="32" t="inlineStr">
        <is>
          <t>1–4</t>
        </is>
      </c>
      <c r="E12" s="32" t="inlineStr">
        <is>
          <t>Parcial</t>
        </is>
      </c>
      <c r="F12" s="32" t="inlineStr">
        <is>
          <t>—</t>
        </is>
      </c>
      <c r="G12" s="32" t="inlineStr">
        <is>
          <t>Ambiente de homologação AASP</t>
        </is>
      </c>
    </row>
  </sheetData>
  <mergeCells count="4">
    <mergeCell ref="A2:G2"/>
    <mergeCell ref="A4:G4"/>
    <mergeCell ref="A1:G1"/>
    <mergeCell ref="A9:G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J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4" customWidth="1" style="18" min="1" max="1"/>
    <col width="20" customWidth="1" style="18" min="2" max="2"/>
    <col width="12" customWidth="1" style="18" min="3" max="3"/>
    <col width="11" customWidth="1" style="18" min="4" max="5"/>
    <col width="14" customWidth="1" style="18" min="6" max="6"/>
    <col width="12" customWidth="1" style="18" min="7" max="7"/>
    <col width="16" customWidth="1" style="18" min="8" max="8"/>
    <col width="14" customWidth="1" style="18" min="9" max="9"/>
    <col width="40" customWidth="1" style="18" min="10" max="10"/>
  </cols>
  <sheetData>
    <row r="1" ht="21.75" customHeight="1" s="19">
      <c r="A1" s="20" t="inlineStr">
        <is>
          <t>ACOMPANHAMENTO DE SPRINTS</t>
        </is>
      </c>
    </row>
    <row r="2" ht="15" customHeight="1" s="19">
      <c r="A2" s="21" t="inlineStr">
        <is>
          <t>Referência: RAC-AASP01-001 · MED-AASP01-001 · PLA-AASP01-001</t>
        </is>
      </c>
    </row>
    <row r="4" ht="15" customHeight="1" s="19">
      <c r="A4" s="22" t="inlineStr">
        <is>
          <t>EVOLUÇÃO POR SPRINT</t>
        </is>
      </c>
      <c r="B4" s="23" t="n"/>
      <c r="C4" s="23" t="n"/>
      <c r="D4" s="23" t="n"/>
      <c r="E4" s="23" t="n"/>
      <c r="F4" s="23" t="n"/>
      <c r="G4" s="23" t="n"/>
      <c r="H4" s="23" t="n"/>
      <c r="I4" s="23" t="n"/>
      <c r="J4" s="24" t="n"/>
    </row>
    <row r="5" ht="27.75" customHeight="1" s="19">
      <c r="A5" s="33" t="inlineStr">
        <is>
          <t>Sprint</t>
        </is>
      </c>
      <c r="B5" s="33" t="inlineStr">
        <is>
          <t>Período</t>
        </is>
      </c>
      <c r="C5" s="33" t="inlineStr">
        <is>
          <t>Capacity
(devs)</t>
        </is>
      </c>
      <c r="D5" s="33" t="inlineStr">
        <is>
          <t>SP Plan.</t>
        </is>
      </c>
      <c r="E5" s="33" t="inlineStr">
        <is>
          <t>SP Real.</t>
        </is>
      </c>
      <c r="F5" s="33" t="inlineStr">
        <is>
          <t>Desvio SP</t>
        </is>
      </c>
      <c r="G5" s="33" t="inlineStr">
        <is>
          <t>Velocity</t>
        </is>
      </c>
      <c r="H5" s="33" t="inlineStr">
        <is>
          <t>Def. Encontrados</t>
        </is>
      </c>
      <c r="I5" s="33" t="inlineStr">
        <is>
          <t>Def. Produção</t>
        </is>
      </c>
      <c r="J5" s="33" t="inlineStr">
        <is>
          <t>Observação / CRs</t>
        </is>
      </c>
    </row>
    <row r="6" ht="31.5" customHeight="1" s="19">
      <c r="A6" s="30" t="inlineStr">
        <is>
          <t>Sprint 1</t>
        </is>
      </c>
      <c r="B6" s="30" t="inlineStr">
        <is>
          <t>26/05–06/06/2026</t>
        </is>
      </c>
      <c r="C6" s="30" t="n">
        <v>2</v>
      </c>
      <c r="D6" s="30" t="n">
        <v>34</v>
      </c>
      <c r="E6" s="30" t="n">
        <v>34</v>
      </c>
      <c r="F6" s="30" t="inlineStr">
        <is>
          <t>0</t>
        </is>
      </c>
      <c r="G6" s="30" t="n">
        <v>34</v>
      </c>
      <c r="H6" s="30" t="n">
        <v>3</v>
      </c>
      <c r="I6" s="30" t="n">
        <v>0</v>
      </c>
      <c r="J6" s="30" t="inlineStr">
        <is>
          <t>3 achados em code review (REV-AASP01-001); todos resolvidos antes do aceite. Aceite formal Marcos Turnes 06/06/2026</t>
        </is>
      </c>
    </row>
    <row r="7" ht="31.5" customHeight="1" s="19">
      <c r="A7" s="31" t="inlineStr">
        <is>
          <t>Sprint 2</t>
        </is>
      </c>
      <c r="B7" s="31" t="inlineStr">
        <is>
          <t>09/06–20/06/2026</t>
        </is>
      </c>
      <c r="C7" s="31" t="n">
        <v>2</v>
      </c>
      <c r="D7" s="31" t="n">
        <v>28</v>
      </c>
      <c r="E7" s="31" t="inlineStr">
        <is>
          <t>~17*</t>
        </is>
      </c>
      <c r="F7" s="31" t="inlineStr">
        <is>
          <t>Em andamento</t>
        </is>
      </c>
      <c r="G7" s="31" t="inlineStr">
        <is>
          <t>—</t>
        </is>
      </c>
      <c r="H7" s="31" t="inlineStr">
        <is>
          <t>—</t>
        </is>
      </c>
      <c r="I7" s="31" t="inlineStr">
        <is>
          <t>—</t>
        </is>
      </c>
      <c r="J7" s="31" t="inlineStr">
        <is>
          <t>*Estimativa parcial (60% do sprint). Sprint em andamento — atualizar ao encerrar</t>
        </is>
      </c>
    </row>
    <row r="8" ht="31.5" customHeight="1" s="19">
      <c r="A8" s="29" t="inlineStr">
        <is>
          <t>Sprint 3</t>
        </is>
      </c>
      <c r="B8" s="29" t="inlineStr">
        <is>
          <t>23/06–04/07/2026</t>
        </is>
      </c>
      <c r="C8" s="29" t="n">
        <v>2</v>
      </c>
      <c r="D8" s="29" t="n">
        <v>20</v>
      </c>
      <c r="E8" s="29" t="inlineStr">
        <is>
          <t>—</t>
        </is>
      </c>
      <c r="F8" s="29" t="inlineStr">
        <is>
          <t>—</t>
        </is>
      </c>
      <c r="G8" s="29" t="inlineStr">
        <is>
          <t>—</t>
        </is>
      </c>
      <c r="H8" s="29" t="inlineStr">
        <is>
          <t>—</t>
        </is>
      </c>
      <c r="I8" s="29" t="inlineStr">
        <is>
          <t>—</t>
        </is>
      </c>
      <c r="J8" s="29" t="inlineStr">
        <is>
          <t>Planejado — dados a preencher após execução</t>
        </is>
      </c>
    </row>
    <row r="9" ht="31.5" customHeight="1" s="19">
      <c r="A9" s="29" t="n"/>
      <c r="B9" s="29" t="n"/>
      <c r="C9" s="29" t="n"/>
      <c r="D9" s="29" t="n"/>
      <c r="E9" s="29" t="inlineStr">
        <is>
          <t>—</t>
        </is>
      </c>
      <c r="F9" s="29" t="inlineStr">
        <is>
          <t>—</t>
        </is>
      </c>
      <c r="G9" s="29" t="inlineStr">
        <is>
          <t>—</t>
        </is>
      </c>
      <c r="H9" s="29" t="inlineStr">
        <is>
          <t>—</t>
        </is>
      </c>
      <c r="I9" s="29" t="inlineStr">
        <is>
          <t>—</t>
        </is>
      </c>
      <c r="J9" s="29" t="inlineStr">
        <is>
          <t>Encerramento — homologação final e TAE</t>
        </is>
      </c>
    </row>
    <row r="11" ht="15" customHeight="1" s="19">
      <c r="A11" s="22" t="inlineStr">
        <is>
          <t>TOTAIS DO PROJETO</t>
        </is>
      </c>
      <c r="B11" s="23" t="n"/>
      <c r="C11" s="23" t="n"/>
      <c r="D11" s="23" t="n"/>
      <c r="E11" s="23" t="n"/>
      <c r="F11" s="23" t="n"/>
      <c r="G11" s="23" t="n"/>
      <c r="H11" s="23" t="n"/>
      <c r="I11" s="23" t="n"/>
      <c r="J11" s="24" t="n"/>
    </row>
    <row r="12" ht="15" customHeight="1" s="19">
      <c r="A12" s="25" t="inlineStr">
        <is>
          <t>SP total planejado</t>
        </is>
      </c>
      <c r="B12" s="27">
        <f>D6+D7+D8+D9</f>
        <v/>
      </c>
      <c r="C12" s="23" t="n"/>
      <c r="D12" s="23" t="n"/>
      <c r="E12" s="23" t="n"/>
      <c r="F12" s="23" t="n"/>
      <c r="G12" s="23" t="n"/>
      <c r="H12" s="23" t="n"/>
      <c r="I12" s="23" t="n"/>
      <c r="J12" s="23" t="n"/>
    </row>
    <row r="13" ht="15" customHeight="1" s="19">
      <c r="A13" s="25" t="inlineStr">
        <is>
          <t>SP realizado acumulado (Sprint 1)</t>
        </is>
      </c>
      <c r="B13" s="27" t="inlineStr">
        <is>
          <t>34</t>
        </is>
      </c>
      <c r="C13" s="23" t="n"/>
      <c r="D13" s="23" t="n"/>
      <c r="E13" s="23" t="n"/>
      <c r="F13" s="23" t="n"/>
      <c r="G13" s="23" t="n"/>
      <c r="H13" s="23" t="n"/>
      <c r="I13" s="23" t="n"/>
      <c r="J13" s="23" t="n"/>
    </row>
    <row r="14" ht="15" customHeight="1" s="19">
      <c r="A14" s="25" t="inlineStr">
        <is>
          <t>% concluído (SP)</t>
        </is>
      </c>
      <c r="B14" s="27" t="inlineStr">
        <is>
          <t>38% (34 de 90 SP est.)</t>
        </is>
      </c>
      <c r="C14" s="23" t="n"/>
      <c r="D14" s="23" t="n"/>
      <c r="E14" s="23" t="n"/>
      <c r="F14" s="23" t="n"/>
      <c r="G14" s="23" t="n"/>
      <c r="H14" s="23" t="n"/>
      <c r="I14" s="23" t="n"/>
      <c r="J14" s="23" t="n"/>
    </row>
  </sheetData>
  <mergeCells count="7">
    <mergeCell ref="A1:J1"/>
    <mergeCell ref="B14:J14"/>
    <mergeCell ref="A4:J4"/>
    <mergeCell ref="A2:J2"/>
    <mergeCell ref="B12:J12"/>
    <mergeCell ref="B13:J13"/>
    <mergeCell ref="A11:J1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J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8" customWidth="1" style="18" min="1" max="1"/>
    <col width="48" customWidth="1" style="18" min="2" max="2"/>
    <col width="8" customWidth="1" style="18" min="3" max="5"/>
    <col width="12" customWidth="1" style="18" min="6" max="6"/>
    <col width="48" customWidth="1" style="18" min="7" max="7"/>
    <col width="20" customWidth="1" style="18" min="8" max="8"/>
    <col width="18" customWidth="1" style="18" min="9" max="9"/>
    <col width="28" customWidth="1" style="18" min="10" max="10"/>
  </cols>
  <sheetData>
    <row r="1" ht="21.75" customHeight="1" s="19">
      <c r="A1" s="20" t="inlineStr">
        <is>
          <t>REGISTRO DE RISCOS</t>
        </is>
      </c>
    </row>
    <row r="2" ht="15" customHeight="1" s="19">
      <c r="A2" s="21" t="inlineStr">
        <is>
          <t>Referência: PLA-AASP01-001 §9  |  Escala Prob./Imp.: 1=Baixo · 2=Médio · 3=Alto  |  Exposição = P×I</t>
        </is>
      </c>
    </row>
    <row r="4" ht="15" customHeight="1" s="19">
      <c r="A4" s="22" t="inlineStr">
        <is>
          <t>RISCOS IDENTIFICADOS NO PROJETO</t>
        </is>
      </c>
      <c r="B4" s="23" t="n"/>
      <c r="C4" s="23" t="n"/>
      <c r="D4" s="23" t="n"/>
      <c r="E4" s="23" t="n"/>
      <c r="F4" s="23" t="n"/>
      <c r="G4" s="23" t="n"/>
      <c r="H4" s="23" t="n"/>
      <c r="I4" s="23" t="n"/>
      <c r="J4" s="24" t="n"/>
    </row>
    <row r="5" ht="27.75" customHeight="1" s="19">
      <c r="A5" s="33" t="inlineStr">
        <is>
          <t>ID</t>
        </is>
      </c>
      <c r="B5" s="33" t="inlineStr">
        <is>
          <t>Risco</t>
        </is>
      </c>
      <c r="C5" s="33" t="inlineStr">
        <is>
          <t>Prob.
(1–3)</t>
        </is>
      </c>
      <c r="D5" s="33" t="inlineStr">
        <is>
          <t>Imp.
(1–3)</t>
        </is>
      </c>
      <c r="E5" s="33" t="inlineStr">
        <is>
          <t>Exp.
(P×I)</t>
        </is>
      </c>
      <c r="F5" s="33" t="inlineStr">
        <is>
          <t>Categoria</t>
        </is>
      </c>
      <c r="G5" s="33" t="inlineStr">
        <is>
          <t>Resposta / O que ocorreu</t>
        </is>
      </c>
      <c r="H5" s="33" t="inlineStr">
        <is>
          <t>Ocorreu?</t>
        </is>
      </c>
      <c r="I5" s="33" t="inlineStr">
        <is>
          <t>Status</t>
        </is>
      </c>
      <c r="J5" s="33" t="inlineStr">
        <is>
          <t>Observação</t>
        </is>
      </c>
    </row>
    <row r="6" ht="39.75" customHeight="1" s="19">
      <c r="A6" s="31" t="inlineStr">
        <is>
          <t>R-01</t>
        </is>
      </c>
      <c r="B6" s="31" t="inlineStr">
        <is>
          <t>Indisponibilidade do ambiente de homologação AASP, impedindo validação de endpoints</t>
        </is>
      </c>
      <c r="C6" s="31" t="n">
        <v>2</v>
      </c>
      <c r="D6" s="31" t="n">
        <v>2</v>
      </c>
      <c r="E6" s="31">
        <f>C7*D7</f>
        <v/>
      </c>
      <c r="F6" s="31" t="inlineStr">
        <is>
          <t>Externo</t>
        </is>
      </c>
      <c r="G6" s="31" t="inlineStr">
        <is>
          <t>Agendamento prévio de janelas de homologação com Leonardo Francisco Pereira; fallback: ambiente local via ngrok</t>
        </is>
      </c>
      <c r="H6" s="31" t="inlineStr">
        <is>
          <t>Não</t>
        </is>
      </c>
      <c r="I6" s="31" t="inlineStr">
        <is>
          <t>🟡 Monitorando</t>
        </is>
      </c>
      <c r="J6" s="31" t="inlineStr">
        <is>
          <t>Risco recorrente em projetos com cliente</t>
        </is>
      </c>
    </row>
    <row r="7" ht="39.75" customHeight="1" s="19">
      <c r="A7" s="30" t="inlineStr">
        <is>
          <t>R-02</t>
        </is>
      </c>
      <c r="B7" s="30" t="inlineStr">
        <is>
          <t>Schema do banco auxo3 com inconsistências legadas que impeçam migração das novas tabelas de grupos</t>
        </is>
      </c>
      <c r="C7" s="30" t="n">
        <v>2</v>
      </c>
      <c r="D7" s="30" t="n">
        <v>3</v>
      </c>
      <c r="E7" s="30">
        <f>C8*D8</f>
        <v/>
      </c>
      <c r="F7" s="30" t="inlineStr">
        <is>
          <t>Técnico</t>
        </is>
      </c>
      <c r="G7" s="30" t="inlineStr">
        <is>
          <t>Análise prévia do schema realizada no Kickoff; scripts de migration com rollback; DBA validou estrutura em 19/05/2026</t>
        </is>
      </c>
      <c r="H7" s="30" t="inlineStr">
        <is>
          <t>Não</t>
        </is>
      </c>
      <c r="I7" s="30" t="inlineStr">
        <is>
          <t>🟢 Mitigado</t>
        </is>
      </c>
      <c r="J7" s="30" t="inlineStr">
        <is>
          <t>Migration validada no Sprint 1</t>
        </is>
      </c>
    </row>
    <row r="8" ht="39.75" customHeight="1" s="19">
      <c r="A8" s="30" t="inlineStr">
        <is>
          <t>R-03</t>
        </is>
      </c>
      <c r="B8" s="30" t="inlineStr">
        <is>
          <t>Alteração de escopo pelo PO (Marcos Turnes) após Sprint 1 aprovado</t>
        </is>
      </c>
      <c r="C8" s="30" t="n">
        <v>1</v>
      </c>
      <c r="D8" s="30" t="n">
        <v>2</v>
      </c>
      <c r="E8" s="30">
        <f>C9*D9</f>
        <v/>
      </c>
      <c r="F8" s="30" t="inlineStr">
        <is>
          <t>Escopo</t>
        </is>
      </c>
      <c r="G8" s="30" t="inlineStr">
        <is>
          <t>Escopo congelado após TAP assinado; qualquer mudança passa por CR formal</t>
        </is>
      </c>
      <c r="H8" s="30" t="inlineStr">
        <is>
          <t>Não</t>
        </is>
      </c>
      <c r="I8" s="30" t="inlineStr">
        <is>
          <t>🟢 Controlado</t>
        </is>
      </c>
      <c r="J8" s="30" t="inlineStr">
        <is>
          <t>Zero CRs até 15/06/2026</t>
        </is>
      </c>
    </row>
    <row r="9" ht="39.75" customHeight="1" s="19">
      <c r="A9" s="31" t="inlineStr">
        <is>
          <t>R-04</t>
        </is>
      </c>
      <c r="B9" s="31" t="inlineStr">
        <is>
          <t>Falha na integração com ms.temis.vinculos — quebra de contrato de API ou incompatibilidade de dados</t>
        </is>
      </c>
      <c r="C9" s="31" t="n">
        <v>2</v>
      </c>
      <c r="D9" s="31" t="n">
        <v>3</v>
      </c>
      <c r="E9" s="31">
        <f>C10*D10</f>
        <v/>
      </c>
      <c r="F9" s="31" t="inlineStr">
        <is>
          <t>Técnico</t>
        </is>
      </c>
      <c r="G9" s="31" t="inlineStr">
        <is>
          <t>Contrato de API definido em ITP-AASP01-001; testes de integração planejados para Sprint 2; versionamento de API</t>
        </is>
      </c>
      <c r="H9" s="31" t="inlineStr">
        <is>
          <t>Parcialmente — dificuldade no mapeamento de tipos</t>
        </is>
      </c>
      <c r="I9" s="31" t="inlineStr">
        <is>
          <t>🟡 Em tratamento</t>
        </is>
      </c>
      <c r="J9" s="31" t="inlineStr">
        <is>
          <t>AG-24 em andamento na Sprint 2</t>
        </is>
      </c>
    </row>
    <row r="10" ht="39.75" customHeight="1" s="19">
      <c r="A10" s="30" t="inlineStr">
        <is>
          <t>R-05</t>
        </is>
      </c>
      <c r="B10" s="30" t="inlineStr">
        <is>
          <t>Sobrecarga ou indisponibilidade de Cezar Hiraki, que acumula papéis técnicos (Arquiteto/Tech Lead/DevOps/Revisor/GCO)</t>
        </is>
      </c>
      <c r="C10" s="30" t="n">
        <v>1</v>
      </c>
      <c r="D10" s="30" t="n">
        <v>3</v>
      </c>
      <c r="E10" s="30">
        <f>C11*D11</f>
        <v/>
      </c>
      <c r="F10" s="30" t="inlineStr">
        <is>
          <t>Recurso</t>
        </is>
      </c>
      <c r="G10" s="30" t="inlineStr">
        <is>
          <t>Documentação técnica mantida atualizada; pair programming com Renan Kiyoshi para transferência de conhecimento</t>
        </is>
      </c>
      <c r="H10" s="30" t="inlineStr">
        <is>
          <t>Não</t>
        </is>
      </c>
      <c r="I10" s="30" t="inlineStr">
        <is>
          <t>🟢 Controlado</t>
        </is>
      </c>
      <c r="J10" s="30" t="inlineStr">
        <is>
          <t>Contingência: equipe de 3 devs (Renan, Henry, Mateus Veloso) absorve a carga; Renan Kiyoshi preparado para assumir GCO</t>
        </is>
      </c>
    </row>
  </sheetData>
  <mergeCells count="3">
    <mergeCell ref="A1:J1"/>
    <mergeCell ref="A4:J4"/>
    <mergeCell ref="A2:J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H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8" customWidth="1" style="18" min="1" max="1"/>
    <col width="40" customWidth="1" style="18" min="2" max="2"/>
    <col width="14" customWidth="1" style="18" min="3" max="3"/>
    <col width="18" customWidth="1" style="18" min="4" max="4"/>
    <col width="16" customWidth="1" style="18" min="5" max="5"/>
    <col width="18" customWidth="1" style="18" min="6" max="6"/>
    <col width="14" customWidth="1" style="18" min="7" max="7"/>
    <col width="24" customWidth="1" style="18" min="8" max="8"/>
  </cols>
  <sheetData>
    <row r="1" ht="21.75" customHeight="1" s="19">
      <c r="A1" s="20" t="inlineStr">
        <is>
          <t>CHANGE REQUESTS — REGISTRO CONSOLIDADO</t>
        </is>
      </c>
    </row>
    <row r="2" ht="15" customHeight="1" s="19">
      <c r="A2" s="21" t="inlineStr">
        <is>
          <t>Referência: CR-AASP01-001  |  Nenhum CR registrado até 15/06/2026</t>
        </is>
      </c>
    </row>
    <row r="4" ht="15" customHeight="1" s="19">
      <c r="A4" s="22" t="inlineStr">
        <is>
          <t>REGISTRO DE CHANGE REQUESTS</t>
        </is>
      </c>
      <c r="B4" s="23" t="n"/>
      <c r="C4" s="23" t="n"/>
      <c r="D4" s="23" t="n"/>
      <c r="E4" s="23" t="n"/>
      <c r="F4" s="23" t="n"/>
      <c r="G4" s="23" t="n"/>
      <c r="H4" s="24" t="n"/>
    </row>
    <row r="5" ht="15.75" customHeight="1" s="19">
      <c r="A5" s="28" t="inlineStr">
        <is>
          <t>CR</t>
        </is>
      </c>
      <c r="B5" s="28" t="inlineStr">
        <is>
          <t>Descrição</t>
        </is>
      </c>
      <c r="C5" s="28" t="inlineStr">
        <is>
          <t>Fase / Sprints</t>
        </is>
      </c>
      <c r="D5" s="28" t="inlineStr">
        <is>
          <t>Escopo afetado</t>
        </is>
      </c>
      <c r="E5" s="28" t="inlineStr">
        <is>
          <t>Impacto no prazo</t>
        </is>
      </c>
      <c r="F5" s="28" t="inlineStr">
        <is>
          <t>Aprovado por</t>
        </is>
      </c>
      <c r="G5" s="28" t="inlineStr">
        <is>
          <t>Status</t>
        </is>
      </c>
      <c r="H5" s="28" t="inlineStr">
        <is>
          <t>Impacto qualitativo</t>
        </is>
      </c>
    </row>
    <row r="6" ht="24" customHeight="1" s="19">
      <c r="A6" s="34" t="inlineStr">
        <is>
          <t>✅  Nenhum Change Request registrado até a data desta planilha (15/06/2026). Escopo estável conforme TAP-AASP01-001.</t>
        </is>
      </c>
      <c r="B6" s="23" t="n"/>
      <c r="C6" s="23" t="n"/>
      <c r="D6" s="23" t="n"/>
      <c r="E6" s="23" t="n"/>
      <c r="F6" s="23" t="n"/>
      <c r="G6" s="23" t="n"/>
      <c r="H6" s="23" t="n"/>
    </row>
  </sheetData>
  <mergeCells count="4">
    <mergeCell ref="A4:H4"/>
    <mergeCell ref="A2:H2"/>
    <mergeCell ref="A6:H6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G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9" customWidth="1" style="18" min="1" max="1"/>
    <col width="44" customWidth="1" style="18" min="2" max="2"/>
    <col width="52" customWidth="1" style="18" min="3" max="3"/>
    <col width="14" customWidth="1" style="18" min="4" max="4"/>
    <col width="18" customWidth="1" style="18" min="5" max="5"/>
    <col width="14" customWidth="1" style="18" min="6" max="6"/>
    <col width="22" customWidth="1" style="18" min="7" max="7"/>
  </cols>
  <sheetData>
    <row r="1" ht="21.75" customHeight="1" s="19">
      <c r="A1" s="20" t="inlineStr">
        <is>
          <t>REGISTRO DE MEDIÇÃO DO PROJETO</t>
        </is>
      </c>
    </row>
    <row r="2" ht="15" customHeight="1" s="19">
      <c r="A2" s="21" t="inlineStr">
        <is>
          <t>Referência: MED-AASP01-001 · PLA-MED-001 (catálogo organizacional de medidas)</t>
        </is>
      </c>
    </row>
    <row r="4" ht="15" customHeight="1" s="19">
      <c r="A4" s="22" t="inlineStr">
        <is>
          <t>INDICADORES DO PROJETO — STATUS EM 15/06/2026</t>
        </is>
      </c>
      <c r="B4" s="23" t="n"/>
      <c r="C4" s="23" t="n"/>
      <c r="D4" s="23" t="n"/>
      <c r="E4" s="23" t="n"/>
      <c r="F4" s="23" t="n"/>
      <c r="G4" s="24" t="n"/>
    </row>
    <row r="5" ht="15.75" customHeight="1" s="19">
      <c r="A5" s="28" t="inlineStr">
        <is>
          <t>Código</t>
        </is>
      </c>
      <c r="B5" s="28" t="inlineStr">
        <is>
          <t>Indicador</t>
        </is>
      </c>
      <c r="C5" s="28" t="inlineStr">
        <is>
          <t>Resultado / Valor atual</t>
        </is>
      </c>
      <c r="D5" s="28" t="inlineStr">
        <is>
          <t>Meta Org.</t>
        </is>
      </c>
      <c r="E5" s="28" t="inlineStr">
        <is>
          <t>Status</t>
        </is>
      </c>
      <c r="F5" s="28" t="inlineStr">
        <is>
          <t>Tendência</t>
        </is>
      </c>
      <c r="G5" s="28" t="inlineStr">
        <is>
          <t>Referência</t>
        </is>
      </c>
    </row>
    <row r="6" ht="27.75" customHeight="1" s="19">
      <c r="A6" s="30" t="inlineStr">
        <is>
          <t>M1</t>
        </is>
      </c>
      <c r="B6" s="30" t="inlineStr">
        <is>
          <t>% Entregas no prazo (sprints concluídas)</t>
        </is>
      </c>
      <c r="C6" s="30" t="inlineStr">
        <is>
          <t>100% — Sprint 1 entregue e aceita na data prevista (06/06/2026)</t>
        </is>
      </c>
      <c r="D6" s="30" t="inlineStr">
        <is>
          <t>≥ 90%</t>
        </is>
      </c>
      <c r="E6" s="30" t="inlineStr">
        <is>
          <t>✅ Meta atingida</t>
        </is>
      </c>
      <c r="F6" s="30" t="inlineStr">
        <is>
          <t>→ Estável</t>
        </is>
      </c>
      <c r="G6" s="30" t="inlineStr">
        <is>
          <t>RAC-AASP01-001</t>
        </is>
      </c>
    </row>
    <row r="7" ht="27.75" customHeight="1" s="19">
      <c r="A7" s="30" t="inlineStr">
        <is>
          <t>M2</t>
        </is>
      </c>
      <c r="B7" s="30" t="inlineStr">
        <is>
          <t>Desvio de esforço (SP planejado × realizado)</t>
        </is>
      </c>
      <c r="C7" s="30" t="inlineStr">
        <is>
          <t>Sprint 1: 34 SP plan. × 34 SP real. = 0% de desvio</t>
        </is>
      </c>
      <c r="D7" s="30" t="inlineStr">
        <is>
          <t>≤ 10%</t>
        </is>
      </c>
      <c r="E7" s="30" t="inlineStr">
        <is>
          <t>✅ Meta atingida</t>
        </is>
      </c>
      <c r="F7" s="30" t="inlineStr">
        <is>
          <t>→ Estável</t>
        </is>
      </c>
      <c r="G7" s="30" t="inlineStr">
        <is>
          <t>RAC-AASP01-001</t>
        </is>
      </c>
    </row>
    <row r="8" ht="27.75" customHeight="1" s="19">
      <c r="A8" s="30" t="inlineStr">
        <is>
          <t>M3</t>
        </is>
      </c>
      <c r="B8" s="30" t="inlineStr">
        <is>
          <t>Índice de defeitos por SP (Sprint 1)</t>
        </is>
      </c>
      <c r="C8" s="30" t="inlineStr">
        <is>
          <t>3 achados / 34 SP = 0,088 def/SP — todos resolvidos (P2/P3)</t>
        </is>
      </c>
      <c r="D8" s="30" t="inlineStr">
        <is>
          <t>≤ 0,20 def/SP</t>
        </is>
      </c>
      <c r="E8" s="30" t="inlineStr">
        <is>
          <t>✅ Meta atingida</t>
        </is>
      </c>
      <c r="F8" s="30" t="inlineStr">
        <is>
          <t>↘ Melhoria</t>
        </is>
      </c>
      <c r="G8" s="30" t="inlineStr">
        <is>
          <t>REV-AASP01-001</t>
        </is>
      </c>
    </row>
    <row r="9" ht="27.75" customHeight="1" s="19">
      <c r="A9" s="30" t="inlineStr">
        <is>
          <t>M4</t>
        </is>
      </c>
      <c r="B9" s="30" t="inlineStr">
        <is>
          <t>Taxa de cobertura de testes unitários</t>
        </is>
      </c>
      <c r="C9" s="30" t="inlineStr">
        <is>
          <t>Sprint 1: 85% (estimado — 22 de 26 métodos testados)</t>
        </is>
      </c>
      <c r="D9" s="30" t="inlineStr">
        <is>
          <t>≥ 80%</t>
        </is>
      </c>
      <c r="E9" s="30" t="inlineStr">
        <is>
          <t>✅ Meta atingida</t>
        </is>
      </c>
      <c r="F9" s="30" t="inlineStr">
        <is>
          <t>→ Estável</t>
        </is>
      </c>
      <c r="G9" s="30" t="inlineStr">
        <is>
          <t>REL-VV-AASP01-001</t>
        </is>
      </c>
    </row>
    <row r="10" ht="27.75" customHeight="1" s="19">
      <c r="A10" s="30" t="inlineStr">
        <is>
          <t>M5</t>
        </is>
      </c>
      <c r="B10" s="30" t="inlineStr">
        <is>
          <t>Taxa de aprovação de cenários de aceite (Sprint 1)</t>
        </is>
      </c>
      <c r="C10" s="30" t="inlineStr">
        <is>
          <t>100% — 10 cenários executados e aprovados (CTQ-AASP01-001)</t>
        </is>
      </c>
      <c r="D10" s="30" t="inlineStr">
        <is>
          <t>≥ 95%</t>
        </is>
      </c>
      <c r="E10" s="30" t="inlineStr">
        <is>
          <t>✅ Meta atingida</t>
        </is>
      </c>
      <c r="F10" s="30" t="inlineStr">
        <is>
          <t>→ Estável</t>
        </is>
      </c>
      <c r="G10" s="30" t="inlineStr">
        <is>
          <t>CTQ-AASP01-001</t>
        </is>
      </c>
    </row>
    <row r="11" ht="27.75" customHeight="1" s="19">
      <c r="A11" s="30" t="inlineStr">
        <is>
          <t>M6</t>
        </is>
      </c>
      <c r="B11" s="30" t="inlineStr">
        <is>
          <t>Tempo médio de resposta da API (ms)</t>
        </is>
      </c>
      <c r="C11" s="30" t="inlineStr">
        <is>
          <t>≤ 280 ms (medido em ambiente de dev; Swagger validado)</t>
        </is>
      </c>
      <c r="D11" s="30" t="inlineStr">
        <is>
          <t>≤ 500 ms</t>
        </is>
      </c>
      <c r="E11" s="30" t="inlineStr">
        <is>
          <t>✅ Meta atingida</t>
        </is>
      </c>
      <c r="F11" s="30" t="inlineStr">
        <is>
          <t>→ Estável</t>
        </is>
      </c>
      <c r="G11" s="30" t="inlineStr">
        <is>
          <t>ev-gerenciador-swagger</t>
        </is>
      </c>
    </row>
    <row r="12" ht="27.75" customHeight="1" s="19">
      <c r="A12" s="30" t="inlineStr">
        <is>
          <t>M7</t>
        </is>
      </c>
      <c r="B12" s="30" t="inlineStr">
        <is>
          <t>% Requisitos rastreados (RASTR)</t>
        </is>
      </c>
      <c r="C12" s="30" t="inlineStr">
        <is>
          <t>100% — AG-20 a AG-25 rastreados de requisito a caso de teste</t>
        </is>
      </c>
      <c r="D12" s="30" t="inlineStr">
        <is>
          <t>100%</t>
        </is>
      </c>
      <c r="E12" s="30" t="inlineStr">
        <is>
          <t>✅ Meta atingida</t>
        </is>
      </c>
      <c r="F12" s="30" t="inlineStr">
        <is>
          <t>→ Estável</t>
        </is>
      </c>
      <c r="G12" s="30" t="inlineStr">
        <is>
          <t>RASTR-AASP01-001</t>
        </is>
      </c>
    </row>
    <row r="13" ht="27.75" customHeight="1" s="19">
      <c r="A13" s="30" t="inlineStr">
        <is>
          <t>M8</t>
        </is>
      </c>
      <c r="B13" s="30" t="inlineStr">
        <is>
          <t>Satisfação do cliente (aceite formal Sprint 1)</t>
        </is>
      </c>
      <c r="C13" s="30" t="inlineStr">
        <is>
          <t>Aceite formal concedido sem ressalvas por Marcos Turnes</t>
        </is>
      </c>
      <c r="D13" s="30" t="inlineStr">
        <is>
          <t>Aceite formal</t>
        </is>
      </c>
      <c r="E13" s="30" t="inlineStr">
        <is>
          <t>✅ Obtido</t>
        </is>
      </c>
      <c r="F13" s="30" t="inlineStr">
        <is>
          <t>→ Positivo</t>
        </is>
      </c>
      <c r="G13" s="30" t="inlineStr">
        <is>
          <t>ATA-AASP01-002</t>
        </is>
      </c>
    </row>
  </sheetData>
  <mergeCells count="3">
    <mergeCell ref="A2:G2"/>
    <mergeCell ref="A1:G1"/>
    <mergeCell ref="A4:G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6" customWidth="1" style="18" min="1" max="1"/>
    <col width="46" customWidth="1" style="18" min="2" max="2"/>
    <col width="12" customWidth="1" style="18" min="3" max="3"/>
    <col width="14" customWidth="1" style="18" min="4" max="5"/>
    <col width="22" customWidth="1" style="18" min="6" max="6"/>
    <col width="16" customWidth="1" style="18" min="7" max="7"/>
    <col width="14" customWidth="1" style="18" min="8" max="8"/>
  </cols>
  <sheetData>
    <row r="1" ht="21.75" customHeight="1" s="19">
      <c r="A1" s="20" t="inlineStr">
        <is>
          <t>GARANTIA DA QUALIDADE — REGISTRO DE AUDITORIA</t>
        </is>
      </c>
    </row>
    <row r="2" ht="15" customHeight="1" s="19">
      <c r="A2" s="21" t="inlineStr">
        <is>
          <t>Referência: GQA-AASP01-001 (a ser gerado) · Auditor: Responsável pela Qualidade — independente da equipe de projeto</t>
        </is>
      </c>
    </row>
    <row r="4" ht="15" customHeight="1" s="19">
      <c r="A4" s="25" t="inlineStr">
        <is>
          <t>Auditor</t>
        </is>
      </c>
      <c r="B4" s="27" t="inlineStr">
        <is>
          <t>A definir (COO / Responsável pela Qualidade Timeware)</t>
        </is>
      </c>
      <c r="C4" s="23" t="n"/>
      <c r="D4" s="23" t="n"/>
      <c r="E4" s="23" t="n"/>
      <c r="F4" s="23" t="n"/>
      <c r="G4" s="23" t="n"/>
      <c r="H4" s="23" t="n"/>
    </row>
    <row r="5" ht="15" customHeight="1" s="19">
      <c r="A5" s="25" t="inlineStr">
        <is>
          <t>Independência</t>
        </is>
      </c>
      <c r="B5" s="27" t="inlineStr">
        <is>
          <t>Sim — auditor não participa da execução do projeto</t>
        </is>
      </c>
      <c r="C5" s="23" t="n"/>
      <c r="D5" s="23" t="n"/>
      <c r="E5" s="23" t="n"/>
      <c r="F5" s="23" t="n"/>
      <c r="G5" s="23" t="n"/>
      <c r="H5" s="23" t="n"/>
    </row>
    <row r="6" ht="15" customHeight="1" s="19">
      <c r="A6" s="25" t="inlineStr">
        <is>
          <t>Referência estratégia</t>
        </is>
      </c>
      <c r="B6" s="27" t="inlineStr">
        <is>
          <t>EST-GPC-001 — Estratégia de Garantia da Qualidade Timeware</t>
        </is>
      </c>
      <c r="C6" s="23" t="n"/>
      <c r="D6" s="23" t="n"/>
      <c r="E6" s="23" t="n"/>
      <c r="F6" s="23" t="n"/>
      <c r="G6" s="23" t="n"/>
      <c r="H6" s="23" t="n"/>
    </row>
    <row r="7" ht="15" customHeight="1" s="19">
      <c r="A7" s="25" t="inlineStr">
        <is>
          <t>Status</t>
        </is>
      </c>
      <c r="B7" s="27" t="inlineStr">
        <is>
          <t>⏳ Auditorias agendadas para a Sprint 3 (encerramento)</t>
        </is>
      </c>
      <c r="C7" s="23" t="n"/>
      <c r="D7" s="23" t="n"/>
      <c r="E7" s="23" t="n"/>
      <c r="F7" s="23" t="n"/>
      <c r="G7" s="23" t="n"/>
      <c r="H7" s="23" t="n"/>
    </row>
    <row r="9" ht="15" customHeight="1" s="19">
      <c r="A9" s="22" t="inlineStr">
        <is>
          <t>AUDITORIAS PLANEJADAS</t>
        </is>
      </c>
      <c r="B9" s="23" t="n"/>
      <c r="C9" s="23" t="n"/>
      <c r="D9" s="23" t="n"/>
      <c r="E9" s="23" t="n"/>
      <c r="F9" s="23" t="n"/>
      <c r="G9" s="23" t="n"/>
      <c r="H9" s="24" t="n"/>
    </row>
    <row r="10" ht="19.5" customHeight="1" s="19">
      <c r="A10" s="33" t="inlineStr">
        <is>
          <t>ID Auditoria</t>
        </is>
      </c>
      <c r="B10" s="33" t="inlineStr">
        <is>
          <t>Escopo</t>
        </is>
      </c>
      <c r="C10" s="33" t="inlineStr">
        <is>
          <t>Sprint alvo</t>
        </is>
      </c>
      <c r="D10" s="33" t="inlineStr">
        <is>
          <t>Data Prevista</t>
        </is>
      </c>
      <c r="E10" s="33" t="inlineStr">
        <is>
          <t>Status</t>
        </is>
      </c>
      <c r="F10" s="33" t="inlineStr">
        <is>
          <t>Auditor</t>
        </is>
      </c>
      <c r="G10" s="33" t="inlineStr">
        <is>
          <t>Achados</t>
        </is>
      </c>
      <c r="H10" s="33" t="inlineStr">
        <is>
          <t>Resultado</t>
        </is>
      </c>
    </row>
    <row r="11" ht="27.75" customHeight="1" s="19">
      <c r="A11" s="31" t="inlineStr">
        <is>
          <t>GQA-P01</t>
        </is>
      </c>
      <c r="B11" s="31" t="inlineStr">
        <is>
          <t>Verificação de aderência ao processo — entregáveis Sprint 1 e 2 (TAP, REQ, PLA, ATA, RAC, REV)</t>
        </is>
      </c>
      <c r="C11" s="31" t="inlineStr">
        <is>
          <t>Sprint 3</t>
        </is>
      </c>
      <c r="D11" s="31" t="inlineStr">
        <is>
          <t>25/06/2026</t>
        </is>
      </c>
      <c r="E11" s="31" t="inlineStr">
        <is>
          <t>📅 Planejado</t>
        </is>
      </c>
      <c r="F11" s="31" t="inlineStr">
        <is>
          <t>Resp. Qualidade Timeware</t>
        </is>
      </c>
      <c r="G11" s="31" t="inlineStr">
        <is>
          <t>—</t>
        </is>
      </c>
      <c r="H11" s="31" t="inlineStr">
        <is>
          <t>—</t>
        </is>
      </c>
    </row>
    <row r="12" ht="27.75" customHeight="1" s="19">
      <c r="A12" s="31" t="inlineStr">
        <is>
          <t>GQA-P02</t>
        </is>
      </c>
      <c r="B12" s="31" t="inlineStr">
        <is>
          <t>Auditoria final de encerramento — todos os registros MPS-C; GQA-AASP01-001</t>
        </is>
      </c>
      <c r="C12" s="31" t="inlineStr">
        <is>
          <t>Sprint 3</t>
        </is>
      </c>
      <c r="D12" s="31" t="inlineStr">
        <is>
          <t>10/07/2026</t>
        </is>
      </c>
      <c r="E12" s="31" t="inlineStr">
        <is>
          <t>📅 Planejado</t>
        </is>
      </c>
      <c r="F12" s="31" t="inlineStr">
        <is>
          <t>Resp. Qualidade Timeware</t>
        </is>
      </c>
      <c r="G12" s="31" t="inlineStr">
        <is>
          <t>—</t>
        </is>
      </c>
      <c r="H12" s="31" t="inlineStr">
        <is>
          <t>—</t>
        </is>
      </c>
    </row>
    <row r="14" ht="24" customHeight="1" s="19">
      <c r="A14" s="35" t="inlineStr">
        <is>
          <t>ℹ️  GQA é documento de encerramento — auditorias serão executadas nas Sprints 3 e 4. Registros serão consolidados em GQA-AASP01-001.</t>
        </is>
      </c>
    </row>
  </sheetData>
  <mergeCells count="8">
    <mergeCell ref="A9:H9"/>
    <mergeCell ref="B4:H4"/>
    <mergeCell ref="A2:H2"/>
    <mergeCell ref="B6:H6"/>
    <mergeCell ref="A14:H14"/>
    <mergeCell ref="B7:H7"/>
    <mergeCell ref="A1:H1"/>
    <mergeCell ref="B5:H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I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4" customWidth="1" style="18" min="1" max="1"/>
    <col width="9" customWidth="1" style="18" min="2" max="2"/>
    <col width="36" customWidth="1" style="18" min="3" max="3"/>
    <col width="9" customWidth="1" style="18" min="4" max="4"/>
    <col width="30" customWidth="1" style="18" min="5" max="6"/>
    <col width="36" customWidth="1" style="18" min="7" max="7"/>
    <col width="14" customWidth="1" style="18" min="8" max="8"/>
    <col width="22" customWidth="1" style="18" min="9" max="9"/>
  </cols>
  <sheetData>
    <row r="1" ht="21.75" customHeight="1" s="19">
      <c r="A1" s="20" t="inlineStr">
        <is>
          <t>V&amp;V — CENÁRIOS DE TESTE · GRUPOS DE USUÁRIOS · AASP GERENCIADOR</t>
        </is>
      </c>
    </row>
    <row r="2" ht="15" customHeight="1" s="19">
      <c r="A2" s="21" t="inlineStr">
        <is>
          <t>Fonte: CTQ-AASP01-001 · REL-VV-AASP01-001 · VV-AASP01-001  |  10 cenários Sprint 1 (✅); Sprint 2–3 a executar</t>
        </is>
      </c>
    </row>
    <row r="4" ht="15" customHeight="1" s="19">
      <c r="A4" s="22" t="inlineStr">
        <is>
          <t>CENÁRIOS DE TESTE — SPRINT 1 (AG-20, AG-21, AG-22)</t>
        </is>
      </c>
      <c r="B4" s="23" t="n"/>
      <c r="C4" s="23" t="n"/>
      <c r="D4" s="23" t="n"/>
      <c r="E4" s="23" t="n"/>
      <c r="F4" s="23" t="n"/>
      <c r="G4" s="23" t="n"/>
      <c r="H4" s="23" t="n"/>
      <c r="I4" s="24" t="n"/>
    </row>
    <row r="5" ht="19.5" customHeight="1" s="19">
      <c r="A5" s="33" t="inlineStr">
        <is>
          <t>Funcionalidade</t>
        </is>
      </c>
      <c r="B5" s="33" t="inlineStr">
        <is>
          <t>#</t>
        </is>
      </c>
      <c r="C5" s="33" t="inlineStr">
        <is>
          <t>Cenário</t>
        </is>
      </c>
      <c r="D5" s="33" t="inlineStr">
        <is>
          <t>Tipo</t>
        </is>
      </c>
      <c r="E5" s="33" t="inlineStr">
        <is>
          <t>Dado (Given)</t>
        </is>
      </c>
      <c r="F5" s="33" t="inlineStr">
        <is>
          <t>Quando (When)</t>
        </is>
      </c>
      <c r="G5" s="33" t="inlineStr">
        <is>
          <t>Então / E (Then/And)</t>
        </is>
      </c>
      <c r="H5" s="33" t="inlineStr">
        <is>
          <t>Status Sprint 1</t>
        </is>
      </c>
      <c r="I5" s="33" t="inlineStr">
        <is>
          <t>Observação</t>
        </is>
      </c>
    </row>
    <row r="6" ht="39.75" customHeight="1" s="19">
      <c r="A6" s="36" t="inlineStr">
        <is>
          <t>AG-20
CRUD Grupos</t>
        </is>
      </c>
      <c r="B6" s="36" t="inlineStr">
        <is>
          <t>GRP-01</t>
        </is>
      </c>
      <c r="C6" s="36" t="inlineStr">
        <is>
          <t>Criar grupo com dados válidos — happy path</t>
        </is>
      </c>
      <c r="D6" s="36" t="inlineStr">
        <is>
          <t>Happy</t>
        </is>
      </c>
      <c r="E6" s="36" t="inlineStr">
        <is>
          <t>usuário autenticado; nenhum grupo 'Gestores' no escritório</t>
        </is>
      </c>
      <c r="F6" s="36" t="inlineStr">
        <is>
          <t>envia POST incluirgrupo com {nome:'Gestores', grupoDeUsuarios:[]}</t>
        </is>
      </c>
      <c r="G6" s="36" t="inlineStr">
        <is>
          <t>status 200; Sucesso=true; MensagemPublica='Grupo incluido com sucesso'</t>
        </is>
      </c>
      <c r="H6" s="36" t="inlineStr">
        <is>
          <t>✅ OK</t>
        </is>
      </c>
      <c r="I6" s="36" t="inlineStr"/>
    </row>
    <row r="7" ht="39.75" customHeight="1" s="19">
      <c r="A7" s="36" t="inlineStr">
        <is>
          <t>AG-20
CRUD Grupos</t>
        </is>
      </c>
      <c r="B7" s="36" t="inlineStr">
        <is>
          <t>GRP-02</t>
        </is>
      </c>
      <c r="C7" s="36" t="inlineStr">
        <is>
          <t>Listar grupos — happy path</t>
        </is>
      </c>
      <c r="D7" s="36" t="inlineStr">
        <is>
          <t>Happy</t>
        </is>
      </c>
      <c r="E7" s="36" t="inlineStr">
        <is>
          <t>existem grupos com excluido=0 no escritório</t>
        </is>
      </c>
      <c r="F7" s="36" t="inlineStr">
        <is>
          <t>envia GET listargrupo (paginado)</t>
        </is>
      </c>
      <c r="G7" s="36" t="inlineStr">
        <is>
          <t>status 200; RetornaDados com a lista de grupos</t>
        </is>
      </c>
      <c r="H7" s="36" t="inlineStr">
        <is>
          <t>✅ OK</t>
        </is>
      </c>
      <c r="I7" s="36" t="inlineStr"/>
    </row>
    <row r="8" ht="39.75" customHeight="1" s="19">
      <c r="A8" s="36" t="inlineStr">
        <is>
          <t>AG-20
CRUD Grupos</t>
        </is>
      </c>
      <c r="B8" s="36" t="inlineStr">
        <is>
          <t>GRP-03</t>
        </is>
      </c>
      <c r="C8" s="36" t="inlineStr">
        <is>
          <t>Consultar usuários de um grupo — happy path</t>
        </is>
      </c>
      <c r="D8" s="36" t="inlineStr">
        <is>
          <t>Happy</t>
        </is>
      </c>
      <c r="E8" s="36" t="inlineStr">
        <is>
          <t>grupo id 5 possui membros</t>
        </is>
      </c>
      <c r="F8" s="36" t="inlineStr">
        <is>
          <t>envia GET buscargrupoporid (id 5)</t>
        </is>
      </c>
      <c r="G8" s="36" t="inlineStr">
        <is>
          <t>status 200; RetornaDados com os usuários e funções do grupo</t>
        </is>
      </c>
      <c r="H8" s="36" t="inlineStr">
        <is>
          <t>✅ OK</t>
        </is>
      </c>
      <c r="I8" s="36" t="inlineStr"/>
    </row>
    <row r="9" ht="39.75" customHeight="1" s="19">
      <c r="A9" s="36" t="inlineStr">
        <is>
          <t>AG-20
CRUD Grupos</t>
        </is>
      </c>
      <c r="B9" s="36" t="inlineStr">
        <is>
          <t>GRP-04</t>
        </is>
      </c>
      <c r="C9" s="36" t="inlineStr">
        <is>
          <t>Alterar grupo — happy path</t>
        </is>
      </c>
      <c r="D9" s="36" t="inlineStr">
        <is>
          <t>Happy</t>
        </is>
      </c>
      <c r="E9" s="36" t="inlineStr">
        <is>
          <t>grupo id 5 existe</t>
        </is>
      </c>
      <c r="F9" s="36" t="inlineStr">
        <is>
          <t>envia POST alterargrupo com {id:5, nome:'Gestores Senior', grupoDeUsuarios:[...]}</t>
        </is>
      </c>
      <c r="G9" s="36" t="inlineStr">
        <is>
          <t>status 200; data_alteracao atualizada</t>
        </is>
      </c>
      <c r="H9" s="36" t="inlineStr">
        <is>
          <t>✅ OK</t>
        </is>
      </c>
      <c r="I9" s="36" t="inlineStr"/>
    </row>
    <row r="10" ht="39.75" customHeight="1" s="19">
      <c r="A10" s="36" t="inlineStr">
        <is>
          <t>AG-20
CRUD Grupos</t>
        </is>
      </c>
      <c r="B10" s="36" t="inlineStr">
        <is>
          <t>GRP-05</t>
        </is>
      </c>
      <c r="C10" s="36" t="inlineStr">
        <is>
          <t>Excluir grupo (soft delete) — happy path</t>
        </is>
      </c>
      <c r="D10" s="36" t="inlineStr">
        <is>
          <t>Happy</t>
        </is>
      </c>
      <c r="E10" s="36" t="inlineStr">
        <is>
          <t>grupo id 7 existe</t>
        </is>
      </c>
      <c r="F10" s="36" t="inlineStr">
        <is>
          <t>envia POST excluirgrupo com {id:7, notificarMembros:false}</t>
        </is>
      </c>
      <c r="G10" s="36" t="inlineStr">
        <is>
          <t>status 200; excluido=1 no banco; não aparece em listargrupo</t>
        </is>
      </c>
      <c r="H10" s="36" t="inlineStr">
        <is>
          <t>✅ OK</t>
        </is>
      </c>
      <c r="I10" s="36" t="inlineStr">
        <is>
          <t>Soft delete validado no banco</t>
        </is>
      </c>
    </row>
    <row r="11" ht="39.75" customHeight="1" s="19">
      <c r="A11" s="36" t="inlineStr">
        <is>
          <t>AG-20
CRUD Grupos</t>
        </is>
      </c>
      <c r="B11" s="36" t="inlineStr">
        <is>
          <t>GRP-06</t>
        </is>
      </c>
      <c r="C11" s="36" t="inlineStr">
        <is>
          <t>Ativar/desativar grupo — happy path</t>
        </is>
      </c>
      <c r="D11" s="36" t="inlineStr">
        <is>
          <t>Happy</t>
        </is>
      </c>
      <c r="E11" s="36" t="inlineStr">
        <is>
          <t>grupo id 5 existe</t>
        </is>
      </c>
      <c r="F11" s="36" t="inlineStr">
        <is>
          <t>envia POST ativardesativar com {id:5, ativo:0}</t>
        </is>
      </c>
      <c r="G11" s="36" t="inlineStr">
        <is>
          <t>status 200; campo ativo atualizado para 0</t>
        </is>
      </c>
      <c r="H11" s="36" t="inlineStr">
        <is>
          <t>✅ OK</t>
        </is>
      </c>
      <c r="I11" s="36" t="inlineStr"/>
    </row>
    <row r="12" ht="39.75" customHeight="1" s="19">
      <c r="A12" s="36" t="inlineStr">
        <is>
          <t>AG-20
CRUD Grupos</t>
        </is>
      </c>
      <c r="B12" s="36" t="inlineStr">
        <is>
          <t>GRP-07</t>
        </is>
      </c>
      <c r="C12" s="36" t="inlineStr">
        <is>
          <t>Criar grupo com nome duplicado — sad path</t>
        </is>
      </c>
      <c r="D12" s="36" t="inlineStr">
        <is>
          <t>Sad</t>
        </is>
      </c>
      <c r="E12" s="36" t="inlineStr">
        <is>
          <t>grupo 'Administradores' já existe no escritório</t>
        </is>
      </c>
      <c r="F12" s="36" t="inlineStr">
        <is>
          <t>envia POST incluirgrupo com {nome:'Administradores'}</t>
        </is>
      </c>
      <c r="G12" s="36" t="inlineStr">
        <is>
          <t>status 400; Sucesso=false; MensagemPublica='Grupo ja existe'</t>
        </is>
      </c>
      <c r="H12" s="36" t="inlineStr">
        <is>
          <t>✅ OK</t>
        </is>
      </c>
      <c r="I12" s="36" t="inlineStr"/>
    </row>
    <row r="13" ht="39.75" customHeight="1" s="19">
      <c r="A13" s="36" t="inlineStr">
        <is>
          <t>AG-21
Função</t>
        </is>
      </c>
      <c r="B13" s="36" t="inlineStr">
        <is>
          <t>FUNC-01</t>
        </is>
      </c>
      <c r="C13" s="36" t="inlineStr">
        <is>
          <t>Alterar função do usuário no grupo — happy path</t>
        </is>
      </c>
      <c r="D13" s="36" t="inlineStr">
        <is>
          <t>Happy</t>
        </is>
      </c>
      <c r="E13" s="36" t="inlineStr">
        <is>
          <t>usuário 42 é membro do grupo (função Usuario)</t>
        </is>
      </c>
      <c r="F13" s="36" t="inlineStr">
        <is>
          <t>envia POST alterarfuncaodousuario com {usuarioId:42, funcaoId:1, funcao:1}</t>
        </is>
      </c>
      <c r="G13" s="36" t="inlineStr">
        <is>
          <t>status 200; função atualizada para Administrador</t>
        </is>
      </c>
      <c r="H13" s="36" t="inlineStr">
        <is>
          <t>✅ OK</t>
        </is>
      </c>
      <c r="I13" s="36" t="inlineStr"/>
    </row>
    <row r="14" ht="39.75" customHeight="1" s="19">
      <c r="A14" s="36" t="inlineStr">
        <is>
          <t>AG-22
Vínculos</t>
        </is>
      </c>
      <c r="B14" s="36" t="inlineStr">
        <is>
          <t>VINC-01</t>
        </is>
      </c>
      <c r="C14" s="36" t="inlineStr">
        <is>
          <t>Vincular usuários ao grupo — happy path</t>
        </is>
      </c>
      <c r="D14" s="36" t="inlineStr">
        <is>
          <t>Happy</t>
        </is>
      </c>
      <c r="E14" s="36" t="inlineStr">
        <is>
          <t>grupo id 3 existe; usuários 42 e 711 existem</t>
        </is>
      </c>
      <c r="F14" s="36" t="inlineStr">
        <is>
          <t>envia POST alterargrupo com grupoDeUsuarios:[{id:42,funcaoId:0},{id:711,funcaoId:1}]</t>
        </is>
      </c>
      <c r="G14" s="36" t="inlineStr">
        <is>
          <t>status 200; vínculos criados em grupos_usuarios_vinculos</t>
        </is>
      </c>
      <c r="H14" s="36" t="inlineStr">
        <is>
          <t>✅ OK</t>
        </is>
      </c>
      <c r="I14" s="36" t="inlineStr"/>
    </row>
    <row r="15" ht="39.75" customHeight="1" s="19">
      <c r="A15" s="36" t="inlineStr">
        <is>
          <t>AG-22
Vínculos</t>
        </is>
      </c>
      <c r="B15" s="36" t="inlineStr">
        <is>
          <t>VINC-02</t>
        </is>
      </c>
      <c r="C15" s="36" t="inlineStr">
        <is>
          <t>Remover usuário do grupo — happy path</t>
        </is>
      </c>
      <c r="D15" s="36" t="inlineStr">
        <is>
          <t>Happy</t>
        </is>
      </c>
      <c r="E15" s="36" t="inlineStr">
        <is>
          <t>usuário 711 vinculado ao grupo 3</t>
        </is>
      </c>
      <c r="F15" s="36" t="inlineStr">
        <is>
          <t>envia POST removerusuario com {id:711, grupoId:3}</t>
        </is>
      </c>
      <c r="G15" s="36" t="inlineStr">
        <is>
          <t>status 200; excluido=1 no vínculo; some de buscargrupoporid</t>
        </is>
      </c>
      <c r="H15" s="36" t="inlineStr">
        <is>
          <t>✅ OK</t>
        </is>
      </c>
      <c r="I15" s="36" t="inlineStr"/>
    </row>
    <row r="17" ht="15" customHeight="1" s="19">
      <c r="A17" s="22" t="inlineStr">
        <is>
          <t>CENÁRIOS DE TESTE — SPRINT 2-3 (AG-23, AG-24, AG-25) — PLANEJADO / A EXECUTAR</t>
        </is>
      </c>
      <c r="B17" s="23" t="n"/>
      <c r="C17" s="23" t="n"/>
      <c r="D17" s="23" t="n"/>
      <c r="E17" s="23" t="n"/>
      <c r="F17" s="23" t="n"/>
      <c r="G17" s="23" t="n"/>
      <c r="H17" s="23" t="n"/>
      <c r="I17" s="24" t="n"/>
    </row>
    <row r="18" ht="19.5" customHeight="1" s="19">
      <c r="A18" s="33" t="inlineStr">
        <is>
          <t>Funcionalidade</t>
        </is>
      </c>
      <c r="B18" s="33" t="inlineStr">
        <is>
          <t>#</t>
        </is>
      </c>
      <c r="C18" s="33" t="inlineStr">
        <is>
          <t>Cenário</t>
        </is>
      </c>
      <c r="D18" s="33" t="inlineStr">
        <is>
          <t>Tipo</t>
        </is>
      </c>
      <c r="E18" s="33" t="inlineStr">
        <is>
          <t>Dado (Given)</t>
        </is>
      </c>
      <c r="F18" s="33" t="inlineStr">
        <is>
          <t>Quando (When)</t>
        </is>
      </c>
      <c r="G18" s="33" t="inlineStr">
        <is>
          <t>Então / E (Then/And)</t>
        </is>
      </c>
      <c r="H18" s="33" t="inlineStr">
        <is>
          <t>Status Sprint 1</t>
        </is>
      </c>
      <c r="I18" s="33" t="inlineStr">
        <is>
          <t>Observação</t>
        </is>
      </c>
    </row>
    <row r="19" ht="39.75" customHeight="1" s="19">
      <c r="A19" s="37" t="inlineStr">
        <is>
          <t>AG-23
Auditoria</t>
        </is>
      </c>
      <c r="B19" s="37" t="inlineStr">
        <is>
          <t>AUD-01</t>
        </is>
      </c>
      <c r="C19" s="37" t="inlineStr">
        <is>
          <t>Registrar log ao criar grupo — happy path</t>
        </is>
      </c>
      <c r="D19" s="37" t="inlineStr">
        <is>
          <t>Happy</t>
        </is>
      </c>
      <c r="E19" s="37" t="inlineStr">
        <is>
          <t>(planejado — Sprint 2) ao criar/alterar um grupo</t>
        </is>
      </c>
      <c r="F19" s="37" t="inlineStr">
        <is>
          <t>(planejado) operação de escrita em grupo</t>
        </is>
      </c>
      <c r="G19" s="37" t="inlineStr">
        <is>
          <t>(planejado) registro de auditoria com usuário, timestamp e ação</t>
        </is>
      </c>
      <c r="H19" s="37" t="inlineStr">
        <is>
          <t>⏳ Sprint 2</t>
        </is>
      </c>
      <c r="I19" s="37" t="n"/>
    </row>
    <row r="20" ht="39.75" customHeight="1" s="19">
      <c r="A20" s="37" t="inlineStr">
        <is>
          <t>AG-24
Integração</t>
        </is>
      </c>
      <c r="B20" s="37" t="inlineStr">
        <is>
          <t>INT-01</t>
        </is>
      </c>
      <c r="C20" s="37" t="inlineStr">
        <is>
          <t>Sincronizar vínculo com ms.temis.vinculos — happy path</t>
        </is>
      </c>
      <c r="D20" s="37" t="inlineStr">
        <is>
          <t>Happy</t>
        </is>
      </c>
      <c r="E20" s="37" t="inlineStr">
        <is>
          <t>usuário vinculado a grupo em auxo3</t>
        </is>
      </c>
      <c r="F20" s="37" t="inlineStr">
        <is>
          <t>sistema processa sincronização</t>
        </is>
      </c>
      <c r="G20" s="37" t="inlineStr">
        <is>
          <t>vínculo replicado em temis3 via HTTP
E status de sincronização = 'OK'</t>
        </is>
      </c>
      <c r="H20" s="37" t="inlineStr">
        <is>
          <t>⏳ Sprint 2</t>
        </is>
      </c>
      <c r="I20" s="37" t="n"/>
    </row>
    <row r="21" ht="39.75" customHeight="1" s="19">
      <c r="A21" s="37" t="inlineStr">
        <is>
          <t>AG-25
Relatórios</t>
        </is>
      </c>
      <c r="B21" s="37" t="inlineStr">
        <is>
          <t>REL-01</t>
        </is>
      </c>
      <c r="C21" s="37" t="inlineStr">
        <is>
          <t>Relatório consolidado de grupos e membros — happy path</t>
        </is>
      </c>
      <c r="D21" s="37" t="inlineStr">
        <is>
          <t>Happy</t>
        </is>
      </c>
      <c r="E21" s="37" t="inlineStr">
        <is>
          <t>(planejado — Sprint 3) existem grupos com membros cadastrados</t>
        </is>
      </c>
      <c r="F21" s="37" t="inlineStr">
        <is>
          <t>(planejado) consulta o relatório consolidado</t>
        </is>
      </c>
      <c r="G21" s="37" t="inlineStr">
        <is>
          <t>(planejado) retorna relatório consolidado de grupos e membros</t>
        </is>
      </c>
      <c r="H21" s="37" t="inlineStr">
        <is>
          <t>📅 Sprint 3</t>
        </is>
      </c>
      <c r="I21" s="37" t="n"/>
    </row>
  </sheetData>
  <mergeCells count="4">
    <mergeCell ref="A1:I1"/>
    <mergeCell ref="A17:I17"/>
    <mergeCell ref="A4:I4"/>
    <mergeCell ref="A2:I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2026-06-15T18:04:50Z</dcterms:created>
  <dcterms:modified xmlns:dcterms="http://purl.org/dc/terms/" xmlns:xsi="http://www.w3.org/2001/XMLSchema-instance" xsi:type="dcterms:W3CDTF">2026-06-16T15:33:20Z</dcterms:modified>
  <cp:revision>0</cp:revision>
</cp:coreProperties>
</file>