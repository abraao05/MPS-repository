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EstaPasta_de_trabalho"/>
  <bookViews>
    <workbookView visibility="visible" minimized="0" showHorizontalScroll="1" showVerticalScroll="1" showSheetTabs="1" xWindow="-110" yWindow="-110" windowWidth="19420" windowHeight="11020" tabRatio="600" firstSheet="5" activeTab="5" autoFilterDateGrouping="1"/>
  </bookViews>
  <sheets>
    <sheet xmlns:r="http://schemas.openxmlformats.org/officeDocument/2006/relationships" name="InfoDocumento" sheetId="1" state="visible" r:id="rId1"/>
    <sheet xmlns:r="http://schemas.openxmlformats.org/officeDocument/2006/relationships" name="AnaliseDecisaoSolucaoTecnic (2)" sheetId="2" state="visible" r:id="rId2"/>
    <sheet xmlns:r="http://schemas.openxmlformats.org/officeDocument/2006/relationships" name="Estimativa_Cliente" sheetId="3" state="visible" r:id="rId3"/>
    <sheet xmlns:r="http://schemas.openxmlformats.org/officeDocument/2006/relationships" name="Estimativa_Projeto" sheetId="4" state="visible" r:id="rId4"/>
    <sheet xmlns:r="http://schemas.openxmlformats.org/officeDocument/2006/relationships" name="Planning Poker" sheetId="5" state="visible" r:id="rId5"/>
    <sheet xmlns:r="http://schemas.openxmlformats.org/officeDocument/2006/relationships" name="AnaliseDecisao-VersaoModeloMPS" sheetId="6" state="visible" r:id="rId6"/>
    <sheet xmlns:r="http://schemas.openxmlformats.org/officeDocument/2006/relationships" name="Feriados" sheetId="7" state="hidden" r:id="rId7"/>
  </sheets>
  <definedNames/>
  <calcPr calcId="125725" fullCalcOnLoad="1"/>
</workbook>
</file>

<file path=xl/styles.xml><?xml version="1.0" encoding="utf-8"?>
<styleSheet xmlns="http://schemas.openxmlformats.org/spreadsheetml/2006/main">
  <numFmts count="2">
    <numFmt numFmtId="164" formatCode="_-* #,##0.0_-;\-* #,##0.0_-;_-* &quot;-&quot;??_-;_-@_-"/>
    <numFmt numFmtId="165" formatCode="_-* #,##0.0_-;\-* #,##0.0_-;_-* &quot;-&quot;?_-;_-@_-"/>
  </numFmts>
  <fonts count="28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2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color indexed="8"/>
      <sz val="9"/>
    </font>
    <font>
      <name val="Arial"/>
      <family val="2"/>
      <color indexed="8"/>
      <sz val="9"/>
      <vertAlign val="superscript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Times New Roman"/>
      <family val="1"/>
      <color theme="1"/>
      <sz val="10"/>
    </font>
    <font>
      <name val="Calibri"/>
      <family val="2"/>
      <color theme="1"/>
      <sz val="10"/>
      <scheme val="minor"/>
    </font>
    <font>
      <name val="Times New Roman"/>
      <family val="1"/>
      <b val="1"/>
      <color rgb="FFF2F2F2"/>
      <sz val="10"/>
    </font>
    <font>
      <name val="Arial"/>
      <family val="2"/>
      <sz val="10"/>
    </font>
    <font>
      <name val="Calibri"/>
      <family val="2"/>
      <b val="1"/>
      <sz val="14"/>
    </font>
    <font>
      <name val="Calibri"/>
      <family val="2"/>
      <color theme="1"/>
      <sz val="11"/>
    </font>
    <font>
      <name val="Calibri"/>
      <family val="2"/>
      <b val="1"/>
      <sz val="10"/>
    </font>
    <font>
      <name val="Calibri"/>
      <family val="2"/>
      <sz val="10"/>
    </font>
    <font>
      <name val="Calibri"/>
      <family val="2"/>
      <sz val="8"/>
    </font>
    <font>
      <name val="Calibri"/>
      <family val="2"/>
      <b val="1"/>
      <sz val="8"/>
    </font>
    <font>
      <name val="Calibri"/>
      <family val="2"/>
      <b val="1"/>
      <color indexed="9"/>
      <sz val="8"/>
    </font>
    <font>
      <name val="Calibri"/>
      <family val="2"/>
      <b val="1"/>
      <color indexed="9"/>
      <sz val="9"/>
    </font>
    <font>
      <name val="Calibri"/>
      <family val="2"/>
      <b val="1"/>
      <sz val="9"/>
    </font>
    <font>
      <name val="Segoe UI"/>
      <family val="2"/>
      <color indexed="81"/>
      <sz val="9"/>
    </font>
    <font>
      <name val="Segoe UI"/>
      <family val="2"/>
      <b val="1"/>
      <color indexed="81"/>
      <sz val="9"/>
    </font>
    <font>
      <b val="1"/>
      <color rgb="00FFFFFF"/>
    </font>
    <font>
      <b val="1"/>
      <color rgb="001F3864"/>
    </font>
    <font>
      <b val="1"/>
      <color rgb="00FFFFFF"/>
      <sz val="13"/>
    </font>
  </fonts>
  <fills count="15">
    <fill>
      <patternFill/>
    </fill>
    <fill>
      <patternFill patternType="gray125"/>
    </fill>
    <fill>
      <patternFill patternType="solid">
        <fgColor rgb="FF123E5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001F3864"/>
      </patternFill>
    </fill>
    <fill>
      <patternFill patternType="solid">
        <fgColor rgb="00D9E1F2"/>
      </patternFill>
    </fill>
  </fills>
  <borders count="7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23"/>
      </bottom>
      <diagonal/>
    </border>
    <border>
      <left style="medium">
        <color indexed="23"/>
      </left>
      <right style="medium">
        <color indexed="23"/>
      </right>
      <top style="medium">
        <color indexed="23"/>
      </top>
      <bottom style="medium">
        <color indexed="23"/>
      </bottom>
      <diagonal/>
    </border>
    <border>
      <left/>
      <right style="medium">
        <color indexed="55"/>
      </right>
      <top style="medium">
        <color indexed="23"/>
      </top>
      <bottom style="medium">
        <color indexed="23"/>
      </bottom>
      <diagonal/>
    </border>
    <border>
      <left style="medium">
        <color indexed="23"/>
      </left>
      <right style="medium">
        <color indexed="23"/>
      </right>
      <top/>
      <bottom style="medium">
        <color indexed="23"/>
      </bottom>
      <diagonal/>
    </border>
    <border>
      <left/>
      <right style="medium">
        <color indexed="55"/>
      </right>
      <top/>
      <bottom style="medium">
        <color indexed="23"/>
      </bottom>
      <diagonal/>
    </border>
    <border>
      <left style="medium">
        <color indexed="23"/>
      </left>
      <right style="medium">
        <color indexed="23"/>
      </right>
      <top/>
      <bottom/>
      <diagonal/>
    </border>
    <border>
      <left/>
      <right style="medium">
        <color indexed="55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">
    <xf numFmtId="0" fontId="8" fillId="0" borderId="0"/>
    <xf numFmtId="43" fontId="8" fillId="0" borderId="0"/>
    <xf numFmtId="9" fontId="8" fillId="0" borderId="0"/>
    <xf numFmtId="0" fontId="13" fillId="0" borderId="0"/>
  </cellStyleXfs>
  <cellXfs count="27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4" fontId="6" fillId="4" borderId="17" applyAlignment="1" pivotButton="0" quotePrefix="0" xfId="0">
      <alignment horizontal="left" wrapText="1"/>
    </xf>
    <xf numFmtId="0" fontId="6" fillId="4" borderId="18" applyAlignment="1" pivotButton="0" quotePrefix="0" xfId="0">
      <alignment horizontal="left" wrapText="1"/>
    </xf>
    <xf numFmtId="14" fontId="6" fillId="4" borderId="19" applyAlignment="1" pivotButton="0" quotePrefix="0" xfId="0">
      <alignment horizontal="left" wrapText="1"/>
    </xf>
    <xf numFmtId="0" fontId="6" fillId="4" borderId="20" applyAlignment="1" pivotButton="0" quotePrefix="0" xfId="0">
      <alignment horizontal="left" wrapText="1"/>
    </xf>
    <xf numFmtId="14" fontId="6" fillId="5" borderId="17" applyAlignment="1" pivotButton="0" quotePrefix="0" xfId="0">
      <alignment horizontal="left" wrapText="1"/>
    </xf>
    <xf numFmtId="0" fontId="6" fillId="5" borderId="18" applyAlignment="1" pivotButton="0" quotePrefix="0" xfId="0">
      <alignment horizontal="left" wrapText="1"/>
    </xf>
    <xf numFmtId="14" fontId="6" fillId="5" borderId="19" applyAlignment="1" pivotButton="0" quotePrefix="0" xfId="0">
      <alignment horizontal="left" wrapText="1"/>
    </xf>
    <xf numFmtId="0" fontId="6" fillId="5" borderId="20" applyAlignment="1" pivotButton="0" quotePrefix="0" xfId="0">
      <alignment horizontal="left" wrapText="1"/>
    </xf>
    <xf numFmtId="14" fontId="6" fillId="5" borderId="21" applyAlignment="1" pivotButton="0" quotePrefix="0" xfId="0">
      <alignment horizontal="left" wrapText="1"/>
    </xf>
    <xf numFmtId="0" fontId="6" fillId="5" borderId="22" applyAlignment="1" pivotButton="0" quotePrefix="0" xfId="0">
      <alignment horizontal="left" wrapText="1"/>
    </xf>
    <xf numFmtId="14" fontId="0" fillId="6" borderId="6" applyAlignment="1" pivotButton="0" quotePrefix="0" xfId="0">
      <alignment horizontal="left"/>
    </xf>
    <xf numFmtId="0" fontId="6" fillId="6" borderId="6" applyAlignment="1" pivotButton="0" quotePrefix="0" xfId="0">
      <alignment horizontal="left" wrapText="1"/>
    </xf>
    <xf numFmtId="0" fontId="0" fillId="0" borderId="29" pivotButton="0" quotePrefix="0" xfId="0"/>
    <xf numFmtId="0" fontId="0" fillId="0" borderId="14" pivotButton="0" quotePrefix="0" xfId="0"/>
    <xf numFmtId="0" fontId="0" fillId="0" borderId="33" pivotButton="0" quotePrefix="0" xfId="0"/>
    <xf numFmtId="0" fontId="0" fillId="0" borderId="6" pivotButton="0" quotePrefix="0" xfId="0"/>
    <xf numFmtId="0" fontId="0" fillId="0" borderId="10" pivotButton="0" quotePrefix="0" xfId="0"/>
    <xf numFmtId="0" fontId="2" fillId="2" borderId="31" applyAlignment="1" pivotButton="0" quotePrefix="0" xfId="0">
      <alignment horizontal="center" vertical="center" wrapText="1"/>
    </xf>
    <xf numFmtId="164" fontId="3" fillId="3" borderId="24" applyAlignment="1" pivotButton="0" quotePrefix="0" xfId="0">
      <alignment horizontal="center"/>
    </xf>
    <xf numFmtId="9" fontId="4" fillId="0" borderId="6" applyAlignment="1" pivotButton="0" quotePrefix="0" xfId="2">
      <alignment horizontal="center" vertical="center" wrapText="1"/>
    </xf>
    <xf numFmtId="9" fontId="4" fillId="0" borderId="4" applyAlignment="1" pivotButton="0" quotePrefix="0" xfId="2">
      <alignment horizontal="center" vertical="center" wrapText="1"/>
    </xf>
    <xf numFmtId="9" fontId="4" fillId="0" borderId="10" applyAlignment="1" pivotButton="0" quotePrefix="0" xfId="2">
      <alignment horizontal="center" vertical="center" wrapText="1"/>
    </xf>
    <xf numFmtId="9" fontId="3" fillId="3" borderId="34" applyAlignment="1" pivotButton="0" quotePrefix="0" xfId="2">
      <alignment horizontal="center"/>
    </xf>
    <xf numFmtId="0" fontId="0" fillId="0" borderId="4" pivotButton="0" quotePrefix="0" xfId="0"/>
    <xf numFmtId="0" fontId="0" fillId="0" borderId="5" applyAlignment="1" pivotButton="0" quotePrefix="0" xfId="0">
      <alignment horizontal="center"/>
    </xf>
    <xf numFmtId="0" fontId="10" fillId="0" borderId="44" applyAlignment="1" pivotButton="0" quotePrefix="0" xfId="0">
      <alignment horizontal="justify" vertical="center" wrapText="1"/>
    </xf>
    <xf numFmtId="0" fontId="10" fillId="0" borderId="42" applyAlignment="1" pivotButton="0" quotePrefix="0" xfId="0">
      <alignment vertical="center" wrapText="1"/>
    </xf>
    <xf numFmtId="0" fontId="10" fillId="0" borderId="43" applyAlignment="1" pivotButton="0" quotePrefix="0" xfId="0">
      <alignment horizontal="right" vertical="center" wrapText="1"/>
    </xf>
    <xf numFmtId="0" fontId="11" fillId="0" borderId="0" pivotButton="0" quotePrefix="0" xfId="0"/>
    <xf numFmtId="0" fontId="11" fillId="0" borderId="0" applyAlignment="1" pivotButton="0" quotePrefix="0" xfId="0">
      <alignment horizontal="right"/>
    </xf>
    <xf numFmtId="14" fontId="10" fillId="0" borderId="45" applyAlignment="1" pivotButton="0" quotePrefix="0" xfId="0">
      <alignment horizontal="right" vertical="center" wrapText="1"/>
    </xf>
    <xf numFmtId="0" fontId="12" fillId="7" borderId="6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14" fontId="10" fillId="0" borderId="6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4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2" applyAlignment="1" pivotButton="0" quotePrefix="0" xfId="0">
      <alignment wrapText="1"/>
    </xf>
    <xf numFmtId="0" fontId="0" fillId="0" borderId="38" applyAlignment="1" pivotButton="0" quotePrefix="0" xfId="0">
      <alignment wrapText="1"/>
    </xf>
    <xf numFmtId="0" fontId="0" fillId="0" borderId="39" applyAlignment="1" pivotButton="0" quotePrefix="0" xfId="0">
      <alignment wrapText="1"/>
    </xf>
    <xf numFmtId="0" fontId="9" fillId="0" borderId="0" applyAlignment="1" pivotButton="0" quotePrefix="0" xfId="0">
      <alignment vertical="center"/>
    </xf>
    <xf numFmtId="2" fontId="4" fillId="0" borderId="4" applyAlignment="1" pivotButton="0" quotePrefix="0" xfId="0">
      <alignment horizontal="center" vertical="center" wrapText="1"/>
    </xf>
    <xf numFmtId="2" fontId="4" fillId="0" borderId="10" applyAlignment="1" pivotButton="0" quotePrefix="0" xfId="0">
      <alignment horizontal="center" vertical="center" wrapText="1"/>
    </xf>
    <xf numFmtId="2" fontId="4" fillId="0" borderId="6" applyAlignment="1" pivotButton="0" quotePrefix="0" xfId="0">
      <alignment horizontal="center" vertical="center" wrapText="1"/>
    </xf>
    <xf numFmtId="2" fontId="3" fillId="3" borderId="25" applyAlignment="1" pivotButton="0" quotePrefix="0" xfId="0">
      <alignment horizontal="center"/>
    </xf>
    <xf numFmtId="0" fontId="5" fillId="0" borderId="6" applyAlignment="1" pivotButton="0" quotePrefix="0" xfId="0">
      <alignment horizontal="center" vertical="center"/>
    </xf>
    <xf numFmtId="2" fontId="5" fillId="3" borderId="31" applyAlignment="1" pivotButton="0" quotePrefix="0" xfId="0">
      <alignment horizontal="center"/>
    </xf>
    <xf numFmtId="2" fontId="4" fillId="0" borderId="12" applyAlignment="1" pivotButton="0" quotePrefix="0" xfId="0">
      <alignment horizontal="center" vertical="center" wrapText="1"/>
    </xf>
    <xf numFmtId="9" fontId="4" fillId="0" borderId="12" applyAlignment="1" pivotButton="0" quotePrefix="0" xfId="2">
      <alignment horizontal="center" vertical="center" wrapText="1"/>
    </xf>
    <xf numFmtId="2" fontId="3" fillId="3" borderId="53" applyAlignment="1" pivotButton="0" quotePrefix="0" xfId="0">
      <alignment horizontal="center"/>
    </xf>
    <xf numFmtId="9" fontId="3" fillId="3" borderId="28" applyAlignment="1" pivotButton="0" quotePrefix="0" xfId="2">
      <alignment horizontal="center"/>
    </xf>
    <xf numFmtId="164" fontId="3" fillId="3" borderId="54" applyAlignment="1" pivotButton="0" quotePrefix="0" xfId="0">
      <alignment horizontal="center"/>
    </xf>
    <xf numFmtId="2" fontId="5" fillId="6" borderId="6" applyAlignment="1" pivotButton="0" quotePrefix="0" xfId="0">
      <alignment horizontal="center" vertical="center"/>
    </xf>
    <xf numFmtId="165" fontId="5" fillId="3" borderId="6" applyAlignment="1" pivotButton="0" quotePrefix="0" xfId="0">
      <alignment horizontal="center" vertical="center"/>
    </xf>
    <xf numFmtId="0" fontId="16" fillId="9" borderId="47" applyAlignment="1" applyProtection="1" pivotButton="0" quotePrefix="0" xfId="3">
      <alignment horizontal="left" vertical="center" wrapText="1"/>
      <protection locked="0" hidden="0"/>
    </xf>
    <xf numFmtId="0" fontId="16" fillId="5" borderId="14" applyAlignment="1" applyProtection="1" pivotButton="0" quotePrefix="0" xfId="3">
      <alignment horizontal="center" wrapText="1"/>
      <protection locked="0" hidden="0"/>
    </xf>
    <xf numFmtId="0" fontId="19" fillId="0" borderId="6" applyAlignment="1" applyProtection="1" pivotButton="0" quotePrefix="0" xfId="3">
      <alignment horizontal="left" vertical="center" wrapText="1"/>
      <protection locked="0" hidden="0"/>
    </xf>
    <xf numFmtId="0" fontId="18" fillId="0" borderId="6" applyAlignment="1" applyProtection="1" pivotButton="0" quotePrefix="0" xfId="3">
      <alignment horizontal="center"/>
      <protection locked="0" hidden="0"/>
    </xf>
    <xf numFmtId="0" fontId="16" fillId="9" borderId="47" applyAlignment="1" applyProtection="1" pivotButton="0" quotePrefix="0" xfId="3">
      <alignment horizontal="left" wrapText="1"/>
      <protection locked="0" hidden="0"/>
    </xf>
    <xf numFmtId="0" fontId="16" fillId="5" borderId="0" applyAlignment="1" applyProtection="1" pivotButton="0" quotePrefix="0" xfId="3">
      <alignment horizontal="center" wrapText="1"/>
      <protection locked="0" hidden="0"/>
    </xf>
    <xf numFmtId="0" fontId="17" fillId="5" borderId="36" applyProtection="1" pivotButton="0" quotePrefix="0" xfId="3">
      <protection locked="0" hidden="0"/>
    </xf>
    <xf numFmtId="0" fontId="17" fillId="5" borderId="47" applyAlignment="1" applyProtection="1" pivotButton="0" quotePrefix="0" xfId="3">
      <alignment horizontal="left" vertical="center" wrapText="1"/>
      <protection locked="0" hidden="0"/>
    </xf>
    <xf numFmtId="0" fontId="18" fillId="5" borderId="47" applyAlignment="1" applyProtection="1" pivotButton="0" quotePrefix="0" xfId="3">
      <alignment horizontal="left" vertical="center" wrapText="1"/>
      <protection locked="0" hidden="0"/>
    </xf>
    <xf numFmtId="0" fontId="17" fillId="5" borderId="14" applyAlignment="1" applyProtection="1" pivotButton="0" quotePrefix="0" xfId="3">
      <alignment wrapText="1"/>
      <protection locked="0" hidden="0"/>
    </xf>
    <xf numFmtId="0" fontId="17" fillId="5" borderId="0" applyAlignment="1" applyProtection="1" pivotButton="0" quotePrefix="0" xfId="3">
      <alignment wrapText="1"/>
      <protection locked="0" hidden="0"/>
    </xf>
    <xf numFmtId="0" fontId="17" fillId="5" borderId="0" applyProtection="1" pivotButton="0" quotePrefix="0" xfId="3">
      <protection locked="0" hidden="0"/>
    </xf>
    <xf numFmtId="0" fontId="17" fillId="0" borderId="61" applyAlignment="1" pivotButton="0" quotePrefix="0" xfId="3">
      <alignment vertical="center" textRotation="90" wrapText="1"/>
    </xf>
    <xf numFmtId="0" fontId="19" fillId="0" borderId="47" applyAlignment="1" applyProtection="1" pivotButton="0" quotePrefix="0" xfId="3">
      <alignment horizontal="center" vertical="center" wrapText="1"/>
      <protection locked="0" hidden="0"/>
    </xf>
    <xf numFmtId="0" fontId="16" fillId="12" borderId="41" applyAlignment="1" applyProtection="1" pivotButton="0" quotePrefix="0" xfId="3">
      <alignment horizontal="center"/>
      <protection locked="0" hidden="0"/>
    </xf>
    <xf numFmtId="0" fontId="17" fillId="12" borderId="14" applyAlignment="1" applyProtection="1" pivotButton="0" quotePrefix="0" xfId="3">
      <alignment horizontal="left" vertical="center" wrapText="1"/>
      <protection locked="0" hidden="0"/>
    </xf>
    <xf numFmtId="0" fontId="17" fillId="12" borderId="0" applyAlignment="1" applyProtection="1" pivotButton="0" quotePrefix="0" xfId="3">
      <alignment horizontal="left" vertical="center" wrapText="1"/>
      <protection locked="0" hidden="0"/>
    </xf>
    <xf numFmtId="0" fontId="17" fillId="8" borderId="0" applyAlignment="1" applyProtection="1" pivotButton="0" quotePrefix="0" xfId="3">
      <alignment horizontal="left" vertical="center" wrapText="1"/>
      <protection locked="0" hidden="0"/>
    </xf>
    <xf numFmtId="0" fontId="17" fillId="8" borderId="0" applyProtection="1" pivotButton="0" quotePrefix="0" xfId="3">
      <protection locked="0" hidden="0"/>
    </xf>
    <xf numFmtId="0" fontId="17" fillId="8" borderId="36" applyProtection="1" pivotButton="0" quotePrefix="0" xfId="3">
      <protection locked="0" hidden="0"/>
    </xf>
    <xf numFmtId="0" fontId="16" fillId="9" borderId="3" applyAlignment="1" applyProtection="1" pivotButton="0" quotePrefix="0" xfId="3">
      <alignment horizontal="left" vertical="center" wrapText="1"/>
      <protection locked="0" hidden="0"/>
    </xf>
    <xf numFmtId="0" fontId="16" fillId="9" borderId="9" applyAlignment="1" applyProtection="1" pivotButton="0" quotePrefix="0" xfId="3">
      <alignment horizontal="left" wrapText="1"/>
      <protection locked="0" hidden="0"/>
    </xf>
    <xf numFmtId="0" fontId="16" fillId="6" borderId="64" applyAlignment="1" applyProtection="1" pivotButton="0" quotePrefix="0" xfId="3">
      <alignment horizontal="center" vertical="center" wrapText="1"/>
      <protection locked="0" hidden="0"/>
    </xf>
    <xf numFmtId="0" fontId="16" fillId="6" borderId="48" applyAlignment="1" applyProtection="1" pivotButton="0" quotePrefix="0" xfId="3">
      <alignment horizontal="center" vertical="center" wrapText="1"/>
      <protection locked="0" hidden="0"/>
    </xf>
    <xf numFmtId="0" fontId="16" fillId="6" borderId="49" applyAlignment="1" applyProtection="1" pivotButton="0" quotePrefix="0" xfId="3">
      <alignment vertical="center" wrapText="1"/>
      <protection locked="0" hidden="0"/>
    </xf>
    <xf numFmtId="1" fontId="22" fillId="11" borderId="6" applyAlignment="1" applyProtection="1" pivotButton="0" quotePrefix="0" xfId="3">
      <alignment horizontal="center"/>
      <protection locked="0" hidden="0"/>
    </xf>
    <xf numFmtId="0" fontId="21" fillId="10" borderId="6" applyAlignment="1" applyProtection="1" pivotButton="0" quotePrefix="0" xfId="3">
      <alignment horizontal="center" vertical="center" textRotation="90"/>
      <protection locked="0" hidden="0"/>
    </xf>
    <xf numFmtId="1" fontId="22" fillId="11" borderId="6" applyAlignment="1" applyProtection="1" pivotButton="0" quotePrefix="0" xfId="3">
      <alignment horizontal="center" wrapText="1"/>
      <protection locked="0" hidden="0"/>
    </xf>
    <xf numFmtId="0" fontId="18" fillId="5" borderId="6" applyAlignment="1" applyProtection="1" pivotButton="0" quotePrefix="0" xfId="3">
      <alignment horizontal="left" vertical="center" wrapText="1"/>
      <protection locked="0" hidden="0"/>
    </xf>
    <xf numFmtId="0" fontId="17" fillId="5" borderId="6" applyAlignment="1" applyProtection="1" pivotButton="0" quotePrefix="0" xfId="3">
      <alignment horizontal="left" vertical="center" wrapText="1"/>
      <protection locked="0" hidden="0"/>
    </xf>
    <xf numFmtId="0" fontId="17" fillId="5" borderId="6" applyAlignment="1" applyProtection="1" pivotButton="0" quotePrefix="0" xfId="3">
      <alignment horizontal="center" vertical="center" wrapText="1"/>
      <protection locked="0" hidden="0"/>
    </xf>
    <xf numFmtId="0" fontId="17" fillId="5" borderId="6" applyAlignment="1" applyProtection="1" pivotButton="0" quotePrefix="0" xfId="3">
      <alignment horizontal="left" vertical="center" wrapText="1"/>
      <protection locked="0" hidden="0"/>
    </xf>
    <xf numFmtId="0" fontId="17" fillId="5" borderId="6" applyAlignment="1" applyProtection="1" pivotButton="0" quotePrefix="0" xfId="3">
      <alignment horizontal="center" vertical="center" wrapText="1"/>
      <protection locked="0" hidden="0"/>
    </xf>
    <xf numFmtId="0" fontId="18" fillId="5" borderId="6" applyAlignment="1" applyProtection="1" pivotButton="0" quotePrefix="0" xfId="3">
      <alignment horizontal="left" vertical="center" wrapText="1"/>
      <protection locked="0" hidden="0"/>
    </xf>
    <xf numFmtId="0" fontId="17" fillId="5" borderId="6" applyAlignment="1" applyProtection="1" pivotButton="0" quotePrefix="0" xfId="3">
      <alignment horizontal="left" vertical="center" wrapText="1"/>
      <protection locked="0" hidden="0"/>
    </xf>
    <xf numFmtId="0" fontId="17" fillId="5" borderId="6" applyAlignment="1" applyProtection="1" pivotButton="0" quotePrefix="0" xfId="3">
      <alignment horizontal="center" vertical="center" wrapText="1"/>
      <protection locked="0" hidden="0"/>
    </xf>
    <xf numFmtId="0" fontId="17" fillId="5" borderId="6" applyAlignment="1" applyProtection="1" pivotButton="0" quotePrefix="0" xfId="3">
      <alignment horizontal="left" vertical="center" wrapText="1"/>
      <protection locked="0" hidden="0"/>
    </xf>
    <xf numFmtId="0" fontId="17" fillId="5" borderId="46" applyAlignment="1" applyProtection="1" pivotButton="0" quotePrefix="0" xfId="3">
      <alignment horizontal="center" vertical="center" wrapText="1"/>
      <protection locked="0" hidden="0"/>
    </xf>
    <xf numFmtId="0" fontId="17" fillId="5" borderId="13" applyAlignment="1" applyProtection="1" pivotButton="0" quotePrefix="0" xfId="3">
      <alignment horizontal="center" vertical="center" wrapText="1"/>
      <protection locked="0" hidden="0"/>
    </xf>
    <xf numFmtId="0" fontId="17" fillId="5" borderId="59" applyAlignment="1" applyProtection="1" pivotButton="0" quotePrefix="0" xfId="3">
      <alignment horizontal="center" vertical="center" wrapText="1"/>
      <protection locked="0" hidden="0"/>
    </xf>
    <xf numFmtId="0" fontId="17" fillId="5" borderId="46" applyAlignment="1" applyProtection="1" pivotButton="0" quotePrefix="0" xfId="3">
      <alignment horizontal="left" vertical="center" wrapText="1"/>
      <protection locked="0" hidden="0"/>
    </xf>
    <xf numFmtId="0" fontId="17" fillId="5" borderId="13" applyAlignment="1" applyProtection="1" pivotButton="0" quotePrefix="0" xfId="3">
      <alignment horizontal="left" vertical="center" wrapText="1"/>
      <protection locked="0" hidden="0"/>
    </xf>
    <xf numFmtId="0" fontId="17" fillId="5" borderId="8" applyAlignment="1" applyProtection="1" pivotButton="0" quotePrefix="0" xfId="3">
      <alignment horizontal="left" vertical="center" wrapText="1"/>
      <protection locked="0" hidden="0"/>
    </xf>
    <xf numFmtId="0" fontId="17" fillId="5" borderId="6" applyAlignment="1" applyProtection="1" pivotButton="0" quotePrefix="0" xfId="3">
      <alignment horizontal="center" vertical="center" wrapText="1"/>
      <protection locked="0" hidden="0"/>
    </xf>
    <xf numFmtId="0" fontId="19" fillId="0" borderId="6" applyAlignment="1" applyProtection="1" pivotButton="0" quotePrefix="0" xfId="3">
      <alignment horizontal="center" vertical="center" wrapText="1"/>
      <protection locked="0" hidden="0"/>
    </xf>
    <xf numFmtId="0" fontId="18" fillId="0" borderId="6" applyAlignment="1" applyProtection="1" pivotButton="0" quotePrefix="0" xfId="3">
      <alignment horizontal="center" vertical="center"/>
      <protection locked="0" hidden="0"/>
    </xf>
    <xf numFmtId="0" fontId="16" fillId="12" borderId="41" applyAlignment="1" applyProtection="1" pivotButton="0" quotePrefix="0" xfId="3">
      <alignment horizontal="center" vertical="center"/>
      <protection locked="0" hidden="0"/>
    </xf>
    <xf numFmtId="0" fontId="11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center"/>
    </xf>
    <xf numFmtId="0" fontId="12" fillId="7" borderId="6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7" fillId="5" borderId="6" applyAlignment="1" applyProtection="1" pivotButton="0" quotePrefix="0" xfId="3">
      <alignment horizontal="left" vertical="center" wrapText="1"/>
      <protection locked="0" hidden="0"/>
    </xf>
    <xf numFmtId="0" fontId="17" fillId="5" borderId="6" applyAlignment="1" applyProtection="1" pivotButton="0" quotePrefix="0" xfId="3">
      <alignment horizontal="center" vertical="center" wrapText="1"/>
      <protection locked="0" hidden="0"/>
    </xf>
    <xf numFmtId="0" fontId="17" fillId="5" borderId="41" applyAlignment="1" applyProtection="1" pivotButton="0" quotePrefix="0" xfId="3">
      <alignment horizontal="center" vertical="center" wrapText="1"/>
      <protection locked="0" hidden="0"/>
    </xf>
    <xf numFmtId="0" fontId="14" fillId="6" borderId="26" applyAlignment="1" pivotButton="0" quotePrefix="0" xfId="3">
      <alignment horizontal="center" vertical="center"/>
    </xf>
    <xf numFmtId="0" fontId="14" fillId="6" borderId="28" applyAlignment="1" pivotButton="0" quotePrefix="0" xfId="3">
      <alignment horizontal="center" vertical="center"/>
    </xf>
    <xf numFmtId="0" fontId="14" fillId="6" borderId="27" applyAlignment="1" pivotButton="0" quotePrefix="0" xfId="3">
      <alignment horizontal="center" vertical="center"/>
    </xf>
    <xf numFmtId="0" fontId="15" fillId="0" borderId="29" applyAlignment="1" pivotButton="0" quotePrefix="0" xfId="0">
      <alignment horizontal="center"/>
    </xf>
    <xf numFmtId="0" fontId="15" fillId="0" borderId="30" applyAlignment="1" pivotButton="0" quotePrefix="0" xfId="0">
      <alignment horizontal="center"/>
    </xf>
    <xf numFmtId="0" fontId="15" fillId="0" borderId="32" applyAlignment="1" pivotButton="0" quotePrefix="0" xfId="0">
      <alignment horizontal="center"/>
    </xf>
    <xf numFmtId="0" fontId="17" fillId="9" borderId="4" applyAlignment="1" applyProtection="1" pivotButton="0" quotePrefix="0" xfId="3">
      <alignment horizontal="left" vertical="top" wrapText="1"/>
      <protection locked="0" hidden="0"/>
    </xf>
    <xf numFmtId="0" fontId="17" fillId="9" borderId="5" applyAlignment="1" applyProtection="1" pivotButton="0" quotePrefix="0" xfId="3">
      <alignment horizontal="left" vertical="top" wrapText="1"/>
      <protection locked="0" hidden="0"/>
    </xf>
    <xf numFmtId="14" fontId="17" fillId="9" borderId="46" applyAlignment="1" applyProtection="1" pivotButton="0" quotePrefix="0" xfId="3">
      <alignment horizontal="left" vertical="top" wrapText="1"/>
      <protection locked="0" hidden="0"/>
    </xf>
    <xf numFmtId="14" fontId="17" fillId="9" borderId="13" applyAlignment="1" applyProtection="1" pivotButton="0" quotePrefix="0" xfId="3">
      <alignment horizontal="left" vertical="top" wrapText="1"/>
      <protection locked="0" hidden="0"/>
    </xf>
    <xf numFmtId="14" fontId="17" fillId="9" borderId="59" applyAlignment="1" applyProtection="1" pivotButton="0" quotePrefix="0" xfId="3">
      <alignment horizontal="left" vertical="top" wrapText="1"/>
      <protection locked="0" hidden="0"/>
    </xf>
    <xf numFmtId="0" fontId="17" fillId="9" borderId="6" applyAlignment="1" applyProtection="1" pivotButton="0" quotePrefix="0" xfId="3">
      <alignment horizontal="left" vertical="top" wrapText="1"/>
      <protection locked="0" hidden="0"/>
    </xf>
    <xf numFmtId="0" fontId="17" fillId="9" borderId="41" applyAlignment="1" applyProtection="1" pivotButton="0" quotePrefix="0" xfId="3">
      <alignment horizontal="left" vertical="top" wrapText="1"/>
      <protection locked="0" hidden="0"/>
    </xf>
    <xf numFmtId="0" fontId="17" fillId="9" borderId="46" applyAlignment="1" applyProtection="1" pivotButton="0" quotePrefix="0" xfId="3">
      <alignment horizontal="left" vertical="top" wrapText="1"/>
      <protection locked="0" hidden="0"/>
    </xf>
    <xf numFmtId="0" fontId="17" fillId="9" borderId="13" applyAlignment="1" applyProtection="1" pivotButton="0" quotePrefix="0" xfId="3">
      <alignment horizontal="left" vertical="top" wrapText="1"/>
      <protection locked="0" hidden="0"/>
    </xf>
    <xf numFmtId="0" fontId="17" fillId="9" borderId="59" applyAlignment="1" applyProtection="1" pivotButton="0" quotePrefix="0" xfId="3">
      <alignment horizontal="left" vertical="top" wrapText="1"/>
      <protection locked="0" hidden="0"/>
    </xf>
    <xf numFmtId="0" fontId="17" fillId="9" borderId="10" applyAlignment="1" applyProtection="1" pivotButton="0" quotePrefix="0" xfId="3">
      <alignment horizontal="left"/>
      <protection locked="0" hidden="0"/>
    </xf>
    <xf numFmtId="0" fontId="16" fillId="9" borderId="10" applyAlignment="1" applyProtection="1" pivotButton="0" quotePrefix="0" xfId="3">
      <alignment horizontal="left"/>
      <protection locked="0" hidden="0"/>
    </xf>
    <xf numFmtId="0" fontId="16" fillId="9" borderId="62" applyAlignment="1" applyProtection="1" pivotButton="0" quotePrefix="0" xfId="3">
      <alignment horizontal="left"/>
      <protection locked="0" hidden="0"/>
    </xf>
    <xf numFmtId="0" fontId="16" fillId="6" borderId="26" applyAlignment="1" applyProtection="1" pivotButton="0" quotePrefix="0" xfId="3">
      <alignment horizontal="center"/>
      <protection locked="0" hidden="0"/>
    </xf>
    <xf numFmtId="0" fontId="16" fillId="6" borderId="28" applyAlignment="1" applyProtection="1" pivotButton="0" quotePrefix="0" xfId="3">
      <alignment horizontal="center"/>
      <protection locked="0" hidden="0"/>
    </xf>
    <xf numFmtId="0" fontId="16" fillId="6" borderId="27" applyAlignment="1" applyProtection="1" pivotButton="0" quotePrefix="0" xfId="3">
      <alignment horizontal="center"/>
      <protection locked="0" hidden="0"/>
    </xf>
    <xf numFmtId="0" fontId="16" fillId="6" borderId="49" applyAlignment="1" applyProtection="1" pivotButton="0" quotePrefix="0" xfId="3">
      <alignment horizontal="center" vertical="center" wrapText="1"/>
      <protection locked="0" hidden="0"/>
    </xf>
    <xf numFmtId="0" fontId="16" fillId="6" borderId="50" applyAlignment="1" applyProtection="1" pivotButton="0" quotePrefix="0" xfId="3">
      <alignment horizontal="center" vertical="center" wrapText="1"/>
      <protection locked="0" hidden="0"/>
    </xf>
    <xf numFmtId="0" fontId="16" fillId="6" borderId="51" applyAlignment="1" applyProtection="1" pivotButton="0" quotePrefix="0" xfId="3">
      <alignment horizontal="center" vertical="center" wrapText="1"/>
      <protection locked="0" hidden="0"/>
    </xf>
    <xf numFmtId="0" fontId="16" fillId="6" borderId="63" applyAlignment="1" applyProtection="1" pivotButton="0" quotePrefix="0" xfId="3">
      <alignment horizontal="center" vertical="center" wrapText="1"/>
      <protection locked="0" hidden="0"/>
    </xf>
    <xf numFmtId="0" fontId="17" fillId="0" borderId="6" applyAlignment="1" applyProtection="1" pivotButton="0" quotePrefix="0" xfId="3">
      <alignment horizontal="left" vertical="center" wrapText="1"/>
      <protection locked="0" hidden="0"/>
    </xf>
    <xf numFmtId="0" fontId="17" fillId="5" borderId="46" applyAlignment="1" applyProtection="1" pivotButton="0" quotePrefix="0" xfId="3">
      <alignment horizontal="center" vertical="center" wrapText="1"/>
      <protection locked="0" hidden="0"/>
    </xf>
    <xf numFmtId="0" fontId="17" fillId="5" borderId="13" applyAlignment="1" applyProtection="1" pivotButton="0" quotePrefix="0" xfId="3">
      <alignment horizontal="center" vertical="center" wrapText="1"/>
      <protection locked="0" hidden="0"/>
    </xf>
    <xf numFmtId="0" fontId="17" fillId="5" borderId="59" applyAlignment="1" applyProtection="1" pivotButton="0" quotePrefix="0" xfId="3">
      <alignment horizontal="center" vertical="center" wrapText="1"/>
      <protection locked="0" hidden="0"/>
    </xf>
    <xf numFmtId="0" fontId="17" fillId="5" borderId="46" applyAlignment="1" applyProtection="1" pivotButton="0" quotePrefix="0" xfId="3">
      <alignment horizontal="left" vertical="center" wrapText="1"/>
      <protection locked="0" hidden="0"/>
    </xf>
    <xf numFmtId="0" fontId="17" fillId="5" borderId="13" applyAlignment="1" applyProtection="1" pivotButton="0" quotePrefix="0" xfId="3">
      <alignment horizontal="left" vertical="center" wrapText="1"/>
      <protection locked="0" hidden="0"/>
    </xf>
    <xf numFmtId="0" fontId="17" fillId="5" borderId="8" applyAlignment="1" applyProtection="1" pivotButton="0" quotePrefix="0" xfId="3">
      <alignment horizontal="left" vertical="center" wrapText="1"/>
      <protection locked="0" hidden="0"/>
    </xf>
    <xf numFmtId="0" fontId="17" fillId="5" borderId="59" applyAlignment="1" applyProtection="1" pivotButton="0" quotePrefix="0" xfId="3">
      <alignment horizontal="left" vertical="center" wrapText="1"/>
      <protection locked="0" hidden="0"/>
    </xf>
    <xf numFmtId="0" fontId="16" fillId="11" borderId="33" applyAlignment="1" applyProtection="1" pivotButton="0" quotePrefix="0" xfId="3">
      <alignment horizontal="center"/>
      <protection locked="0" hidden="0"/>
    </xf>
    <xf numFmtId="0" fontId="17" fillId="11" borderId="34" pivotButton="0" quotePrefix="0" xfId="3"/>
    <xf numFmtId="0" fontId="17" fillId="11" borderId="35" pivotButton="0" quotePrefix="0" xfId="3"/>
    <xf numFmtId="0" fontId="18" fillId="5" borderId="6" applyAlignment="1" applyProtection="1" pivotButton="0" quotePrefix="0" xfId="3">
      <alignment horizontal="left" vertical="center" wrapText="1"/>
      <protection locked="0" hidden="0"/>
    </xf>
    <xf numFmtId="0" fontId="18" fillId="5" borderId="41" applyAlignment="1" applyProtection="1" pivotButton="0" quotePrefix="0" xfId="3">
      <alignment horizontal="left" vertical="center" wrapText="1"/>
      <protection locked="0" hidden="0"/>
    </xf>
    <xf numFmtId="0" fontId="19" fillId="0" borderId="60" applyAlignment="1" applyProtection="1" pivotButton="0" quotePrefix="0" xfId="3">
      <alignment horizontal="center" wrapText="1"/>
      <protection locked="0" hidden="0"/>
    </xf>
    <xf numFmtId="0" fontId="17" fillId="0" borderId="50" applyAlignment="1" pivotButton="0" quotePrefix="0" xfId="3">
      <alignment horizontal="center"/>
    </xf>
    <xf numFmtId="0" fontId="17" fillId="0" borderId="63" applyAlignment="1" pivotButton="0" quotePrefix="0" xfId="3">
      <alignment horizontal="center"/>
    </xf>
    <xf numFmtId="0" fontId="16" fillId="6" borderId="57" applyAlignment="1" applyProtection="1" pivotButton="0" quotePrefix="0" xfId="3">
      <alignment horizontal="center" vertical="center" wrapText="1"/>
      <protection locked="0" hidden="0"/>
    </xf>
    <xf numFmtId="0" fontId="16" fillId="6" borderId="14" applyAlignment="1" applyProtection="1" pivotButton="0" quotePrefix="0" xfId="3">
      <alignment horizontal="center" vertical="center" wrapText="1"/>
      <protection locked="0" hidden="0"/>
    </xf>
    <xf numFmtId="0" fontId="16" fillId="6" borderId="60" applyAlignment="1" applyProtection="1" pivotButton="0" quotePrefix="0" xfId="3">
      <alignment horizontal="center" vertical="center" wrapText="1"/>
      <protection locked="0" hidden="0"/>
    </xf>
    <xf numFmtId="0" fontId="16" fillId="6" borderId="6" applyAlignment="1" applyProtection="1" pivotButton="0" quotePrefix="0" xfId="3">
      <alignment horizontal="center" vertical="center" wrapText="1"/>
      <protection locked="0" hidden="0"/>
    </xf>
    <xf numFmtId="0" fontId="21" fillId="10" borderId="6" applyAlignment="1" applyProtection="1" pivotButton="0" quotePrefix="0" xfId="3">
      <alignment horizontal="center" vertical="center"/>
      <protection locked="0" hidden="0"/>
    </xf>
    <xf numFmtId="0" fontId="20" fillId="10" borderId="58" applyAlignment="1" applyProtection="1" pivotButton="0" quotePrefix="0" xfId="3">
      <alignment horizontal="center" vertical="center" textRotation="90" wrapText="1"/>
      <protection locked="0" hidden="0"/>
    </xf>
    <xf numFmtId="0" fontId="20" fillId="10" borderId="36" applyAlignment="1" applyProtection="1" pivotButton="0" quotePrefix="0" xfId="3">
      <alignment horizontal="center" vertical="center" textRotation="90" wrapText="1"/>
      <protection locked="0" hidden="0"/>
    </xf>
    <xf numFmtId="0" fontId="21" fillId="10" borderId="6" applyAlignment="1" applyProtection="1" pivotButton="0" quotePrefix="0" xfId="3">
      <alignment horizontal="center" vertical="center" wrapText="1"/>
      <protection locked="0" hidden="0"/>
    </xf>
    <xf numFmtId="0" fontId="1" fillId="2" borderId="7" applyAlignment="1" pivotButton="0" quotePrefix="0" xfId="0">
      <alignment horizontal="center" vertical="center"/>
    </xf>
    <xf numFmtId="0" fontId="1" fillId="2" borderId="13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wrapText="1"/>
    </xf>
    <xf numFmtId="164" fontId="4" fillId="0" borderId="2" applyAlignment="1" pivotButton="0" quotePrefix="0" xfId="1">
      <alignment horizontal="center" vertical="center" wrapText="1"/>
    </xf>
    <xf numFmtId="164" fontId="4" fillId="0" borderId="24" applyAlignment="1" pivotButton="0" quotePrefix="0" xfId="1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3" fillId="0" borderId="40" applyAlignment="1" pivotButton="0" quotePrefix="0" xfId="0">
      <alignment horizontal="center" vertical="center"/>
    </xf>
    <xf numFmtId="0" fontId="3" fillId="0" borderId="37" applyAlignment="1" pivotButton="0" quotePrefix="0" xfId="0">
      <alignment horizontal="center" vertical="center"/>
    </xf>
    <xf numFmtId="164" fontId="4" fillId="0" borderId="15" applyAlignment="1" pivotButton="0" quotePrefix="0" xfId="1">
      <alignment horizontal="center" vertical="center" wrapText="1"/>
    </xf>
    <xf numFmtId="0" fontId="5" fillId="6" borderId="12" applyAlignment="1" pivotButton="0" quotePrefix="0" xfId="0">
      <alignment horizontal="center" vertical="center"/>
    </xf>
    <xf numFmtId="0" fontId="5" fillId="6" borderId="52" applyAlignment="1" pivotButton="0" quotePrefix="0" xfId="0">
      <alignment horizontal="center" vertical="center"/>
    </xf>
    <xf numFmtId="0" fontId="5" fillId="6" borderId="48" applyAlignment="1" pivotButton="0" quotePrefix="0" xfId="0">
      <alignment horizontal="center" vertical="center"/>
    </xf>
    <xf numFmtId="164" fontId="4" fillId="0" borderId="6" applyAlignment="1" pivotButton="0" quotePrefix="0" xfId="1">
      <alignment horizontal="center" vertical="center" wrapText="1"/>
    </xf>
    <xf numFmtId="0" fontId="3" fillId="0" borderId="6" applyAlignment="1" pivotButton="0" quotePrefix="0" xfId="0">
      <alignment horizontal="center" vertical="center"/>
    </xf>
    <xf numFmtId="164" fontId="4" fillId="0" borderId="12" applyAlignment="1" pivotButton="0" quotePrefix="0" xfId="1">
      <alignment horizontal="center" vertical="center" wrapText="1"/>
    </xf>
    <xf numFmtId="0" fontId="5" fillId="0" borderId="6" applyAlignment="1" pivotButton="0" quotePrefix="0" xfId="0">
      <alignment horizontal="center" vertical="center"/>
    </xf>
    <xf numFmtId="0" fontId="1" fillId="2" borderId="55" applyAlignment="1" pivotButton="0" quotePrefix="0" xfId="0">
      <alignment horizontal="center" vertical="center"/>
    </xf>
    <xf numFmtId="0" fontId="1" fillId="2" borderId="56" applyAlignment="1" pivotButton="0" quotePrefix="0" xfId="0">
      <alignment horizontal="center" vertical="center"/>
    </xf>
    <xf numFmtId="0" fontId="1" fillId="2" borderId="3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 wrapText="1"/>
    </xf>
    <xf numFmtId="0" fontId="2" fillId="2" borderId="28" applyAlignment="1" pivotButton="0" quotePrefix="0" xfId="0">
      <alignment horizontal="center" vertical="center" wrapText="1"/>
    </xf>
    <xf numFmtId="0" fontId="2" fillId="2" borderId="27" applyAlignment="1" pivotButton="0" quotePrefix="0" xfId="0">
      <alignment horizontal="center" vertical="center" wrapText="1"/>
    </xf>
    <xf numFmtId="0" fontId="0" fillId="0" borderId="32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wrapText="1"/>
    </xf>
    <xf numFmtId="0" fontId="0" fillId="0" borderId="32" applyAlignment="1" pivotButton="0" quotePrefix="0" xfId="0">
      <alignment horizontal="center" wrapText="1"/>
    </xf>
    <xf numFmtId="0" fontId="0" fillId="0" borderId="14" applyAlignment="1" pivotButton="0" quotePrefix="0" xfId="0">
      <alignment horizontal="center" wrapText="1"/>
    </xf>
    <xf numFmtId="0" fontId="0" fillId="0" borderId="36" applyAlignment="1" pivotButton="0" quotePrefix="0" xfId="0">
      <alignment horizontal="center" wrapText="1"/>
    </xf>
    <xf numFmtId="0" fontId="0" fillId="0" borderId="33" applyAlignment="1" pivotButton="0" quotePrefix="0" xfId="0">
      <alignment horizontal="center" wrapText="1"/>
    </xf>
    <xf numFmtId="0" fontId="0" fillId="0" borderId="35" applyAlignment="1" pivotButton="0" quotePrefix="0" xfId="0">
      <alignment horizontal="center" wrapText="1"/>
    </xf>
    <xf numFmtId="0" fontId="2" fillId="2" borderId="33" applyAlignment="1" pivotButton="0" quotePrefix="0" xfId="0">
      <alignment horizontal="center" vertical="center" wrapText="1"/>
    </xf>
    <xf numFmtId="0" fontId="2" fillId="2" borderId="34" applyAlignment="1" pivotButton="0" quotePrefix="0" xfId="0">
      <alignment horizontal="center" vertical="center" wrapText="1"/>
    </xf>
    <xf numFmtId="0" fontId="2" fillId="2" borderId="35" applyAlignment="1" pivotButton="0" quotePrefix="0" xfId="0">
      <alignment horizontal="center" vertical="center" wrapText="1"/>
    </xf>
    <xf numFmtId="0" fontId="2" fillId="2" borderId="29" applyAlignment="1" pivotButton="0" quotePrefix="0" xfId="0">
      <alignment horizontal="center" vertical="center" wrapText="1"/>
    </xf>
    <xf numFmtId="0" fontId="2" fillId="2" borderId="30" applyAlignment="1" pivotButton="0" quotePrefix="0" xfId="0">
      <alignment horizontal="center" vertical="center" wrapText="1"/>
    </xf>
    <xf numFmtId="0" fontId="5" fillId="0" borderId="16" applyAlignment="1" pivotButton="0" quotePrefix="0" xfId="0">
      <alignment horizontal="center"/>
    </xf>
    <xf numFmtId="0" fontId="25" fillId="13" borderId="0" applyAlignment="1" pivotButton="0" quotePrefix="0" xfId="0">
      <alignment horizontal="center" vertical="center" wrapText="1"/>
    </xf>
    <xf numFmtId="0" fontId="26" fillId="14" borderId="42" applyAlignment="1" pivotButton="0" quotePrefix="0" xfId="0">
      <alignment vertical="center" wrapText="1"/>
    </xf>
    <xf numFmtId="0" fontId="26" fillId="14" borderId="0" pivotButton="0" quotePrefix="0" xfId="0"/>
    <xf numFmtId="0" fontId="26" fillId="14" borderId="44" applyAlignment="1" pivotButton="0" quotePrefix="0" xfId="0">
      <alignment horizontal="justify" vertical="center" wrapText="1"/>
    </xf>
    <xf numFmtId="0" fontId="26" fillId="14" borderId="6" applyAlignment="1" pivotButton="0" quotePrefix="0" xfId="0">
      <alignment horizontal="center" vertical="center" wrapText="1"/>
    </xf>
    <xf numFmtId="0" fontId="0" fillId="0" borderId="8" pivotButton="0" quotePrefix="0" xfId="0"/>
    <xf numFmtId="0" fontId="27" fillId="13" borderId="31" applyAlignment="1" pivotButton="0" quotePrefix="0" xfId="3">
      <alignment horizontal="center" vertical="center" wrapText="1"/>
    </xf>
    <xf numFmtId="0" fontId="0" fillId="0" borderId="28" pivotButton="0" quotePrefix="0" xfId="0"/>
    <xf numFmtId="0" fontId="0" fillId="0" borderId="27" pivotButton="0" quotePrefix="0" xfId="0"/>
    <xf numFmtId="0" fontId="15" fillId="0" borderId="68" applyAlignment="1" pivotButton="0" quotePrefix="0" xfId="0">
      <alignment horizontal="center"/>
    </xf>
    <xf numFmtId="0" fontId="0" fillId="0" borderId="30" pivotButton="0" quotePrefix="0" xfId="0"/>
    <xf numFmtId="0" fontId="0" fillId="0" borderId="32" pivotButton="0" quotePrefix="0" xfId="0"/>
    <xf numFmtId="0" fontId="26" fillId="14" borderId="3" applyAlignment="1" applyProtection="1" pivotButton="0" quotePrefix="0" xfId="3">
      <alignment horizontal="left" vertical="center" wrapText="1"/>
      <protection locked="0" hidden="0"/>
    </xf>
    <xf numFmtId="0" fontId="0" fillId="0" borderId="70" applyProtection="1" pivotButton="0" quotePrefix="0" xfId="0">
      <protection locked="0" hidden="0"/>
    </xf>
    <xf numFmtId="0" fontId="0" fillId="0" borderId="38" applyProtection="1" pivotButton="0" quotePrefix="0" xfId="0">
      <protection locked="0" hidden="0"/>
    </xf>
    <xf numFmtId="0" fontId="26" fillId="14" borderId="47" applyAlignment="1" applyProtection="1" pivotButton="0" quotePrefix="0" xfId="3">
      <alignment horizontal="left" vertical="center" wrapText="1"/>
      <protection locked="0" hidden="0"/>
    </xf>
    <xf numFmtId="14" fontId="17" fillId="9" borderId="41" applyAlignment="1" applyProtection="1" pivotButton="0" quotePrefix="0" xfId="3">
      <alignment horizontal="left" vertical="top" wrapText="1"/>
      <protection locked="0" hidden="0"/>
    </xf>
    <xf numFmtId="0" fontId="0" fillId="0" borderId="13" applyProtection="1" pivotButton="0" quotePrefix="0" xfId="0">
      <protection locked="0" hidden="0"/>
    </xf>
    <xf numFmtId="0" fontId="0" fillId="0" borderId="59" applyProtection="1" pivotButton="0" quotePrefix="0" xfId="0">
      <protection locked="0" hidden="0"/>
    </xf>
    <xf numFmtId="0" fontId="26" fillId="14" borderId="47" applyAlignment="1" applyProtection="1" pivotButton="0" quotePrefix="0" xfId="3">
      <alignment horizontal="left" wrapText="1"/>
      <protection locked="0" hidden="0"/>
    </xf>
    <xf numFmtId="0" fontId="0" fillId="0" borderId="8" applyProtection="1" pivotButton="0" quotePrefix="0" xfId="0">
      <protection locked="0" hidden="0"/>
    </xf>
    <xf numFmtId="0" fontId="26" fillId="14" borderId="9" applyAlignment="1" applyProtection="1" pivotButton="0" quotePrefix="0" xfId="3">
      <alignment horizontal="left" wrapText="1"/>
      <protection locked="0" hidden="0"/>
    </xf>
    <xf numFmtId="0" fontId="0" fillId="0" borderId="55" applyProtection="1" pivotButton="0" quotePrefix="0" xfId="0">
      <protection locked="0" hidden="0"/>
    </xf>
    <xf numFmtId="0" fontId="0" fillId="0" borderId="39" applyProtection="1" pivotButton="0" quotePrefix="0" xfId="0">
      <protection locked="0" hidden="0"/>
    </xf>
    <xf numFmtId="0" fontId="16" fillId="6" borderId="31" applyAlignment="1" applyProtection="1" pivotButton="0" quotePrefix="0" xfId="3">
      <alignment horizontal="center"/>
      <protection locked="0" hidden="0"/>
    </xf>
    <xf numFmtId="0" fontId="0" fillId="0" borderId="28" applyProtection="1" pivotButton="0" quotePrefix="0" xfId="0">
      <protection locked="0" hidden="0"/>
    </xf>
    <xf numFmtId="0" fontId="0" fillId="0" borderId="27" applyProtection="1" pivotButton="0" quotePrefix="0" xfId="0">
      <protection locked="0" hidden="0"/>
    </xf>
    <xf numFmtId="0" fontId="25" fillId="13" borderId="64" applyAlignment="1" applyProtection="1" pivotButton="0" quotePrefix="0" xfId="3">
      <alignment horizontal="center" vertical="center" wrapText="1"/>
      <protection locked="0" hidden="0"/>
    </xf>
    <xf numFmtId="0" fontId="25" fillId="13" borderId="48" applyAlignment="1" applyProtection="1" pivotButton="0" quotePrefix="0" xfId="3">
      <alignment horizontal="center" vertical="center" wrapText="1"/>
      <protection locked="0" hidden="0"/>
    </xf>
    <xf numFmtId="0" fontId="25" fillId="13" borderId="49" applyAlignment="1" applyProtection="1" pivotButton="0" quotePrefix="0" xfId="3">
      <alignment horizontal="center" vertical="center" wrapText="1"/>
      <protection locked="0" hidden="0"/>
    </xf>
    <xf numFmtId="0" fontId="0" fillId="0" borderId="50" applyProtection="1" pivotButton="0" quotePrefix="0" xfId="0">
      <protection locked="0" hidden="0"/>
    </xf>
    <xf numFmtId="0" fontId="0" fillId="0" borderId="51" applyProtection="1" pivotButton="0" quotePrefix="0" xfId="0">
      <protection locked="0" hidden="0"/>
    </xf>
    <xf numFmtId="0" fontId="25" fillId="13" borderId="61" applyAlignment="1" applyProtection="1" pivotButton="0" quotePrefix="0" xfId="3">
      <alignment horizontal="center" vertical="center" wrapText="1"/>
      <protection locked="0" hidden="0"/>
    </xf>
    <xf numFmtId="0" fontId="0" fillId="0" borderId="63" applyProtection="1" pivotButton="0" quotePrefix="0" xfId="0">
      <protection locked="0" hidden="0"/>
    </xf>
    <xf numFmtId="0" fontId="17" fillId="5" borderId="41" applyAlignment="1" applyProtection="1" pivotButton="0" quotePrefix="0" xfId="3">
      <alignment horizontal="left" vertical="center" wrapText="1"/>
      <protection locked="0" hidden="0"/>
    </xf>
    <xf numFmtId="0" fontId="19" fillId="0" borderId="66" applyAlignment="1" applyProtection="1" pivotButton="0" quotePrefix="0" xfId="3">
      <alignment horizontal="center" wrapText="1"/>
      <protection locked="0" hidden="0"/>
    </xf>
    <xf numFmtId="0" fontId="25" fillId="13" borderId="7" applyAlignment="1" applyProtection="1" pivotButton="0" quotePrefix="0" xfId="3">
      <alignment horizontal="center" vertical="center" wrapText="1"/>
      <protection locked="0" hidden="0"/>
    </xf>
    <xf numFmtId="0" fontId="25" fillId="13" borderId="6" applyAlignment="1" applyProtection="1" pivotButton="0" quotePrefix="0" xfId="3">
      <alignment horizontal="center" vertical="center" wrapText="1"/>
      <protection locked="0" hidden="0"/>
    </xf>
    <xf numFmtId="0" fontId="25" fillId="13" borderId="58" applyAlignment="1" applyProtection="1" pivotButton="0" quotePrefix="0" xfId="3">
      <alignment horizontal="center" vertical="center" wrapText="1"/>
      <protection locked="0" hidden="0"/>
    </xf>
    <xf numFmtId="0" fontId="0" fillId="0" borderId="14" applyProtection="1" pivotButton="0" quotePrefix="0" xfId="0">
      <protection locked="0" hidden="0"/>
    </xf>
    <xf numFmtId="0" fontId="0" fillId="0" borderId="52" applyProtection="1" pivotButton="0" quotePrefix="0" xfId="0">
      <protection locked="0" hidden="0"/>
    </xf>
    <xf numFmtId="0" fontId="0" fillId="0" borderId="36" applyProtection="1" pivotButton="0" quotePrefix="0" xfId="0">
      <protection locked="0" hidden="0"/>
    </xf>
    <xf numFmtId="0" fontId="0" fillId="0" borderId="60" applyProtection="1" pivotButton="0" quotePrefix="0" xfId="0">
      <protection locked="0" hidden="0"/>
    </xf>
    <xf numFmtId="0" fontId="0" fillId="0" borderId="48" applyProtection="1" pivotButton="0" quotePrefix="0" xfId="0">
      <protection locked="0" hidden="0"/>
    </xf>
    <xf numFmtId="0" fontId="16" fillId="11" borderId="37" applyAlignment="1" applyProtection="1" pivotButton="0" quotePrefix="0" xfId="3">
      <alignment horizontal="center"/>
      <protection locked="0" hidden="0"/>
    </xf>
    <xf numFmtId="0" fontId="0" fillId="0" borderId="34" applyProtection="1" pivotButton="0" quotePrefix="0" xfId="0">
      <protection locked="0" hidden="0"/>
    </xf>
    <xf numFmtId="0" fontId="0" fillId="0" borderId="35" applyProtection="1" pivotButton="0" quotePrefix="0" xfId="0">
      <protection locked="0" hidden="0"/>
    </xf>
    <xf numFmtId="0" fontId="1" fillId="2" borderId="47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23" pivotButton="0" quotePrefix="0" xfId="0"/>
    <xf numFmtId="164" fontId="4" fillId="0" borderId="54" applyAlignment="1" pivotButton="0" quotePrefix="0" xfId="1">
      <alignment horizontal="center" vertical="center" wrapText="1"/>
    </xf>
    <xf numFmtId="0" fontId="0" fillId="0" borderId="64" pivotButton="0" quotePrefix="0" xfId="0"/>
    <xf numFmtId="0" fontId="0" fillId="0" borderId="24" pivotButton="0" quotePrefix="0" xfId="0"/>
    <xf numFmtId="0" fontId="3" fillId="0" borderId="53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5" pivotButton="0" quotePrefix="0" xfId="0"/>
    <xf numFmtId="0" fontId="0" fillId="0" borderId="25" pivotButton="0" quotePrefix="0" xfId="0"/>
    <xf numFmtId="0" fontId="0" fillId="0" borderId="66" pivotButton="0" quotePrefix="0" xfId="0"/>
    <xf numFmtId="0" fontId="0" fillId="0" borderId="55" pivotButton="0" quotePrefix="0" xfId="0"/>
    <xf numFmtId="0" fontId="0" fillId="0" borderId="39" pivotButton="0" quotePrefix="0" xfId="0"/>
    <xf numFmtId="0" fontId="0" fillId="0" borderId="48" pivotButton="0" quotePrefix="0" xfId="0"/>
    <xf numFmtId="0" fontId="5" fillId="6" borderId="6" applyAlignment="1" pivotButton="0" quotePrefix="0" xfId="0">
      <alignment horizontal="center" vertical="center"/>
    </xf>
    <xf numFmtId="0" fontId="0" fillId="0" borderId="52" pivotButton="0" quotePrefix="0" xfId="0"/>
    <xf numFmtId="0" fontId="0" fillId="0" borderId="34" pivotButton="0" quotePrefix="0" xfId="0"/>
    <xf numFmtId="0" fontId="0" fillId="0" borderId="31" applyAlignment="1" pivotButton="0" quotePrefix="0" xfId="0">
      <alignment horizontal="center" wrapText="1"/>
    </xf>
    <xf numFmtId="0" fontId="0" fillId="0" borderId="27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35" pivotButton="0" quotePrefix="0" xfId="0"/>
    <xf numFmtId="0" fontId="0" fillId="0" borderId="16" pivotButton="0" quotePrefix="0" xfId="0"/>
  </cellXfs>
  <cellStyles count="4">
    <cellStyle name="Normal" xfId="0" builtinId="0"/>
    <cellStyle name="Separador de milhares" xfId="1" builtinId="3"/>
    <cellStyle name="Porcentagem" xfId="2" builtinId="5"/>
    <cellStyle name="Normal 2" xfId="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tc={56B97DAF-0B29-4774-936A-1B14178FDDA1}</author>
  </authors>
  <commentList>
    <comment ref="C18" authorId="0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fórmula sempre arredonda para cima o resultado da multiplicação de pontos do planning poker pelo peso (percentual).</t>
      </text>
    </comment>
  </commentList>
</comments>
</file>

<file path=xl/comments/comment2.xml><?xml version="1.0" encoding="utf-8"?>
<comments xmlns="http://schemas.openxmlformats.org/spreadsheetml/2006/main">
  <authors>
    <author>tc={9FF4F49F-D2F0-4A62-A40C-DC3B85C11F56}</author>
  </authors>
  <commentList>
    <comment ref="C19" authorId="0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fórmula sempre arredonda para cima o resultado da multiplicação de pontos do planning poker pelo peso (percentual).</t>
      </text>
    </comment>
  </commentList>
</comments>
</file>

<file path=xl/comments/comment3.xml><?xml version="1.0" encoding="utf-8"?>
<comments xmlns="http://schemas.openxmlformats.org/spreadsheetml/2006/main">
  <authors>
    <author>Cristina Machado</author>
  </authors>
  <commentList>
    <comment ref="D27" authorId="0" shapeId="0">
      <text>
        <t xml:space="preserve">Cristina Machado:
</t>
      </text>
    </comment>
    <comment ref="E27" authorId="0" shapeId="0">
      <text>
        <t xml:space="preserve">A implementação com a retirada do DRU, GRU, Gerência de Risco Organizacional, Gerência de Portifólio, Retirada a base de conhecimento, avaliação de desempenho, executação do recrutamento e seleção </t>
      </text>
    </comment>
    <comment ref="F27" authorId="0" shapeId="0">
      <text>
        <t>Como existem menos processos e menos de processos ficou mais simples de utilizar</t>
      </text>
    </comment>
    <comment ref="G27" authorId="0" shapeId="0">
      <text>
        <t>Como é uma versão nova e a BRQ será uma das primeiras empresas a avaliar  que se dê maior publicidade pela SOFTEX e pela BRQ.</t>
      </text>
    </comment>
    <comment ref="H28" authorId="0" shapeId="0">
      <text>
        <t>A versão não será modificada.</t>
      </text>
    </comment>
  </commentList>
</comment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D1" sqref="D1"/>
    </sheetView>
  </sheetViews>
  <sheetFormatPr baseColWidth="8" defaultRowHeight="14.5"/>
  <cols>
    <col width="24.81640625" customWidth="1" style="36" min="1" max="1"/>
    <col width="56.54296875" customWidth="1" style="36" min="2" max="2"/>
    <col width="8.90625" customWidth="1" style="36" min="3" max="3"/>
    <col width="23.08984375" customWidth="1" style="36" min="4" max="4"/>
  </cols>
  <sheetData>
    <row r="1" ht="29.4" customHeight="1" s="36">
      <c r="A1" s="104" t="n"/>
      <c r="B1" s="203" t="inlineStr">
        <is>
          <t>Registro de Análise de Decisão (GDE) — TIMEWARE</t>
        </is>
      </c>
      <c r="C1" s="204" t="inlineStr">
        <is>
          <t xml:space="preserve">Código </t>
        </is>
      </c>
      <c r="D1" s="29" t="inlineStr">
        <is>
          <t>Apoio ao TPL-GDE-001 (RAD)</t>
        </is>
      </c>
    </row>
    <row r="2">
      <c r="C2" s="205" t="inlineStr">
        <is>
          <t>Edição</t>
        </is>
      </c>
      <c r="D2" s="31" t="inlineStr">
        <is>
          <t>1.0</t>
        </is>
      </c>
    </row>
    <row r="3">
      <c r="C3" s="206" t="inlineStr">
        <is>
          <t>Data</t>
        </is>
      </c>
      <c r="D3" s="32" t="inlineStr">
        <is>
          <t>13/06/2026</t>
        </is>
      </c>
    </row>
    <row r="4">
      <c r="A4" s="30" t="n"/>
      <c r="B4" s="30" t="n"/>
      <c r="C4" s="30" t="n"/>
      <c r="D4" s="30" t="n"/>
    </row>
    <row r="5">
      <c r="A5" s="207" t="inlineStr">
        <is>
          <t>Edição</t>
        </is>
      </c>
      <c r="B5" s="207" t="inlineStr">
        <is>
          <t>Data</t>
        </is>
      </c>
      <c r="C5" s="207" t="inlineStr">
        <is>
          <t xml:space="preserve">Alterações </t>
        </is>
      </c>
      <c r="D5" s="208" t="n"/>
    </row>
    <row r="6">
      <c r="A6" s="107" t="inlineStr">
        <is>
          <t>1.0</t>
        </is>
      </c>
      <c r="B6" s="35" t="inlineStr">
        <is>
          <t>13/06/2026</t>
        </is>
      </c>
      <c r="C6" s="107" t="inlineStr">
        <is>
          <t>Adaptação ao padrão Timeware; preenchimento com decisões reais dos projetos PROFARMA (banco de dados) e FTGASMIG (isolamento de clientes).</t>
        </is>
      </c>
      <c r="D6" s="208" t="n"/>
    </row>
  </sheetData>
  <mergeCells count="4">
    <mergeCell ref="A1:A3"/>
    <mergeCell ref="C6:D6"/>
    <mergeCell ref="C5:D5"/>
    <mergeCell ref="B1:B3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"/>
  <sheetViews>
    <sheetView zoomScale="110" zoomScaleNormal="110" workbookViewId="0">
      <selection activeCell="B13" sqref="B13"/>
    </sheetView>
  </sheetViews>
  <sheetFormatPr baseColWidth="8" defaultRowHeight="14.5"/>
  <cols>
    <col width="39.90625" customWidth="1" style="36" min="1" max="1"/>
    <col width="29.54296875" customWidth="1" style="36" min="2" max="2"/>
    <col width="15" customWidth="1" style="36" min="11" max="11"/>
  </cols>
  <sheetData>
    <row r="1" ht="19" customHeight="1" s="36" thickBot="1">
      <c r="A1" s="209" t="inlineStr">
        <is>
          <t>ANÁLISE E TOMADA DE DECISÕES — TIMEWARE</t>
        </is>
      </c>
      <c r="B1" s="210" t="n"/>
      <c r="C1" s="210" t="n"/>
      <c r="D1" s="210" t="n"/>
      <c r="E1" s="210" t="n"/>
      <c r="F1" s="210" t="n"/>
      <c r="G1" s="210" t="n"/>
      <c r="H1" s="210" t="n"/>
      <c r="I1" s="210" t="n"/>
      <c r="J1" s="210" t="n"/>
      <c r="K1" s="211" t="n"/>
    </row>
    <row r="2" ht="9" customHeight="1" s="36" thickBot="1">
      <c r="A2" s="212" t="n"/>
      <c r="B2" s="213" t="n"/>
      <c r="C2" s="213" t="n"/>
      <c r="D2" s="213" t="n"/>
      <c r="E2" s="213" t="n"/>
      <c r="F2" s="213" t="n"/>
      <c r="G2" s="213" t="n"/>
      <c r="H2" s="213" t="n"/>
      <c r="I2" s="213" t="n"/>
      <c r="J2" s="213" t="n"/>
      <c r="K2" s="214" t="n"/>
    </row>
    <row r="3" ht="14.4" customHeight="1" s="36">
      <c r="A3" s="215" t="inlineStr">
        <is>
          <t>Objetivo</t>
        </is>
      </c>
      <c r="B3" s="117" t="inlineStr">
        <is>
          <t>Definir a estratégia de isolamento de clientes (ArcelorMittal e Usiminas) em uma única instância do Azure API Management — Projeto FTGASMIG / Fundação Tecnológica GASMIG.</t>
        </is>
      </c>
      <c r="C3" s="216" t="n"/>
      <c r="D3" s="216" t="n"/>
      <c r="E3" s="216" t="n"/>
      <c r="F3" s="216" t="n"/>
      <c r="G3" s="216" t="n"/>
      <c r="H3" s="216" t="n"/>
      <c r="I3" s="216" t="n"/>
      <c r="J3" s="216" t="n"/>
      <c r="K3" s="217" t="n"/>
    </row>
    <row r="4" ht="14.4" customHeight="1" s="36">
      <c r="A4" s="218" t="inlineStr">
        <is>
          <t>Data:</t>
        </is>
      </c>
      <c r="B4" s="219" t="inlineStr">
        <is>
          <t>14/04/2026</t>
        </is>
      </c>
      <c r="C4" s="220" t="n"/>
      <c r="D4" s="220" t="n"/>
      <c r="E4" s="220" t="n"/>
      <c r="F4" s="220" t="n"/>
      <c r="G4" s="220" t="n"/>
      <c r="H4" s="220" t="n"/>
      <c r="I4" s="220" t="n"/>
      <c r="J4" s="220" t="n"/>
      <c r="K4" s="221" t="n"/>
    </row>
    <row r="5">
      <c r="A5" s="222" t="inlineStr">
        <is>
          <t>Decisão Final</t>
        </is>
      </c>
      <c r="B5" s="122" t="inlineStr">
        <is>
          <t>Alternativa B — Workspaces APIM dedicados por cliente.</t>
        </is>
      </c>
      <c r="C5" s="220" t="n"/>
      <c r="D5" s="220" t="n"/>
      <c r="E5" s="220" t="n"/>
      <c r="F5" s="220" t="n"/>
      <c r="G5" s="220" t="n"/>
      <c r="H5" s="220" t="n"/>
      <c r="I5" s="220" t="n"/>
      <c r="J5" s="220" t="n"/>
      <c r="K5" s="223" t="n"/>
    </row>
    <row r="6">
      <c r="A6" s="222" t="inlineStr">
        <is>
          <t>Razões /Justificativa</t>
        </is>
      </c>
      <c r="B6" s="122" t="inlineStr">
        <is>
          <t>Único modelo que oferece isolamento completo (dados + administração) e escalabilidade sem reconfiguração da base a cada novo cliente — maior pontuação ponderada. A maior complexidade inicial é compensada pela simplicidade operacional ao longo do tempo.</t>
        </is>
      </c>
      <c r="C6" s="220" t="n"/>
      <c r="D6" s="220" t="n"/>
      <c r="E6" s="220" t="n"/>
      <c r="F6" s="220" t="n"/>
      <c r="G6" s="220" t="n"/>
      <c r="H6" s="220" t="n"/>
      <c r="I6" s="220" t="n"/>
      <c r="J6" s="220" t="n"/>
      <c r="K6" s="223" t="n"/>
    </row>
    <row r="7" ht="14.4" customHeight="1" s="36">
      <c r="A7" s="222" t="inlineStr">
        <is>
          <t>Método</t>
        </is>
      </c>
      <c r="B7" s="123" t="inlineStr">
        <is>
          <t>Critérios com peso (matriz de decisão ponderada).</t>
        </is>
      </c>
      <c r="C7" s="220" t="n"/>
      <c r="D7" s="220" t="n"/>
      <c r="E7" s="220" t="n"/>
      <c r="F7" s="220" t="n"/>
      <c r="G7" s="220" t="n"/>
      <c r="H7" s="220" t="n"/>
      <c r="I7" s="220" t="n"/>
      <c r="J7" s="220" t="n"/>
      <c r="K7" s="221" t="n"/>
    </row>
    <row r="8" ht="15" customHeight="1" s="36" thickBot="1">
      <c r="A8" s="224" t="inlineStr">
        <is>
          <t>Participantes</t>
        </is>
      </c>
      <c r="B8" s="127" t="inlineStr">
        <is>
          <t>Cézar Hiraki (Tech Lead / Arquiteto); Abraão Oliveira (GP / PO) — Timeware.</t>
        </is>
      </c>
      <c r="C8" s="225" t="n"/>
      <c r="D8" s="225" t="n"/>
      <c r="E8" s="225" t="n"/>
      <c r="F8" s="225" t="n"/>
      <c r="G8" s="225" t="n"/>
      <c r="H8" s="225" t="n"/>
      <c r="I8" s="225" t="n"/>
      <c r="J8" s="225" t="n"/>
      <c r="K8" s="226" t="n"/>
    </row>
    <row r="9" ht="7.25" customHeight="1" s="36" thickBot="1">
      <c r="A9" s="58" t="n"/>
      <c r="B9" s="62" t="n"/>
      <c r="C9" s="62" t="n"/>
      <c r="D9" s="62" t="n"/>
      <c r="E9" s="62" t="n"/>
      <c r="F9" s="62" t="n"/>
      <c r="G9" s="62" t="n"/>
      <c r="H9" s="62" t="n"/>
      <c r="I9" s="62" t="n"/>
      <c r="J9" s="62" t="n"/>
      <c r="K9" s="63" t="n"/>
    </row>
    <row r="10" ht="15" customHeight="1" s="36" thickBot="1">
      <c r="A10" s="227" t="inlineStr">
        <is>
          <t>Critérios de Avaliação</t>
        </is>
      </c>
      <c r="B10" s="228" t="n"/>
      <c r="C10" s="228" t="n"/>
      <c r="D10" s="228" t="n"/>
      <c r="E10" s="228" t="n"/>
      <c r="F10" s="228" t="n"/>
      <c r="G10" s="228" t="n"/>
      <c r="H10" s="228" t="n"/>
      <c r="I10" s="228" t="n"/>
      <c r="J10" s="228" t="n"/>
      <c r="K10" s="229" t="n"/>
    </row>
    <row r="11" ht="14.4" customHeight="1" s="36">
      <c r="A11" s="230" t="inlineStr">
        <is>
          <t>Critério</t>
        </is>
      </c>
      <c r="B11" s="231" t="inlineStr">
        <is>
          <t>Descrição</t>
        </is>
      </c>
      <c r="C11" s="232" t="inlineStr">
        <is>
          <t>Peso</t>
        </is>
      </c>
      <c r="D11" s="231" t="inlineStr">
        <is>
          <t>Razões</t>
        </is>
      </c>
      <c r="E11" s="233" t="n"/>
      <c r="F11" s="233" t="n"/>
      <c r="G11" s="233" t="n"/>
      <c r="H11" s="234" t="n"/>
      <c r="I11" s="235" t="inlineStr">
        <is>
          <t>Instruções</t>
        </is>
      </c>
      <c r="J11" s="233" t="n"/>
      <c r="K11" s="236" t="n"/>
    </row>
    <row r="12" ht="25.25" customHeight="1" s="36">
      <c r="A12" s="64" t="inlineStr">
        <is>
          <t>Isolamento e segurança</t>
        </is>
      </c>
      <c r="B12" s="108" t="inlineStr">
        <is>
          <t>Dados e políticas de um cliente não acessíveis ao outro.</t>
        </is>
      </c>
      <c r="C12" s="109" t="n">
        <v>5</v>
      </c>
      <c r="D12" s="108" t="inlineStr">
        <is>
          <t>Requisito de segurança multi-tenant.</t>
        </is>
      </c>
      <c r="E12" s="220" t="n"/>
      <c r="F12" s="220" t="n"/>
      <c r="G12" s="220" t="n"/>
      <c r="H12" s="223" t="n"/>
      <c r="I12" s="109" t="inlineStr">
        <is>
          <t>Peso 5 = alto.</t>
        </is>
      </c>
      <c r="J12" s="220" t="n"/>
      <c r="K12" s="223" t="n"/>
    </row>
    <row r="13" ht="123" customHeight="1" s="36">
      <c r="A13" s="64" t="inlineStr">
        <is>
          <t>Escalabilidade</t>
        </is>
      </c>
      <c r="B13" s="108" t="inlineStr">
        <is>
          <t>Facilidade de adicionar novos clientes no futuro sem reconfigurar a base.</t>
        </is>
      </c>
      <c r="C13" s="109" t="n">
        <v>5</v>
      </c>
      <c r="D13" s="137" t="inlineStr">
        <is>
          <t>A fundação é reutilizável e prevê expansão.</t>
        </is>
      </c>
      <c r="E13" s="220" t="n"/>
      <c r="F13" s="220" t="n"/>
      <c r="G13" s="220" t="n"/>
      <c r="H13" s="223" t="n"/>
      <c r="I13" s="110" t="inlineStr">
        <is>
          <t>Peso 5 = alto.</t>
        </is>
      </c>
      <c r="J13" s="220" t="n"/>
      <c r="K13" s="221" t="n"/>
    </row>
    <row r="14" ht="60.65" customHeight="1" s="36">
      <c r="A14" s="64" t="inlineStr">
        <is>
          <t>Delegação de administração</t>
        </is>
      </c>
      <c r="B14" s="108" t="inlineStr">
        <is>
          <t>Conceder acesso administrativo limitado por cliente.</t>
        </is>
      </c>
      <c r="C14" s="109" t="n">
        <v>3</v>
      </c>
      <c r="D14" s="108" t="inlineStr">
        <is>
          <t>Governança operacional por cliente.</t>
        </is>
      </c>
      <c r="E14" s="220" t="n"/>
      <c r="F14" s="220" t="n"/>
      <c r="G14" s="220" t="n"/>
      <c r="H14" s="223" t="n"/>
      <c r="I14" s="110" t="inlineStr">
        <is>
          <t>Peso 3 = médio.</t>
        </is>
      </c>
      <c r="J14" s="220" t="n"/>
      <c r="K14" s="221" t="n"/>
    </row>
    <row r="15" ht="38.4" customHeight="1" s="36">
      <c r="A15" s="64" t="inlineStr">
        <is>
          <t>Complexidade de configuração inicial</t>
        </is>
      </c>
      <c r="B15" s="108" t="inlineStr">
        <is>
          <t>Esforço inicial de provisionamento (nota maior = menor complexidade).</t>
        </is>
      </c>
      <c r="C15" s="109" t="n">
        <v>1</v>
      </c>
      <c r="D15" s="108" t="inlineStr">
        <is>
          <t>Custo de implantação inicial.</t>
        </is>
      </c>
      <c r="E15" s="220" t="n"/>
      <c r="F15" s="220" t="n"/>
      <c r="G15" s="220" t="n"/>
      <c r="H15" s="223" t="n"/>
      <c r="I15" s="110" t="inlineStr">
        <is>
          <t>Peso 1 = baixo.</t>
        </is>
      </c>
      <c r="J15" s="220" t="n"/>
      <c r="K15" s="221" t="n"/>
    </row>
    <row r="16" ht="49.25" customHeight="1" s="36">
      <c r="A16" s="64" t="n"/>
      <c r="B16" s="108" t="n"/>
      <c r="C16" s="109" t="n"/>
      <c r="D16" s="108" t="n"/>
      <c r="E16" s="220" t="n"/>
      <c r="F16" s="220" t="n"/>
      <c r="G16" s="220" t="n"/>
      <c r="H16" s="223" t="n"/>
      <c r="I16" s="110" t="n"/>
      <c r="J16" s="220" t="n"/>
      <c r="K16" s="221" t="n"/>
    </row>
    <row r="17">
      <c r="A17" s="64" t="n"/>
      <c r="B17" s="108" t="n"/>
      <c r="C17" s="109" t="n"/>
      <c r="D17" s="108" t="n"/>
      <c r="E17" s="220" t="n"/>
      <c r="F17" s="220" t="n"/>
      <c r="G17" s="220" t="n"/>
      <c r="H17" s="223" t="n"/>
      <c r="I17" s="237" t="n"/>
      <c r="J17" s="220" t="n"/>
      <c r="K17" s="221" t="n"/>
    </row>
    <row r="18">
      <c r="A18" s="64" t="n"/>
      <c r="B18" s="108" t="n"/>
      <c r="C18" s="109" t="n"/>
      <c r="D18" s="108" t="n"/>
      <c r="E18" s="220" t="n"/>
      <c r="F18" s="220" t="n"/>
      <c r="G18" s="220" t="n"/>
      <c r="H18" s="223" t="n"/>
      <c r="I18" s="237" t="n"/>
      <c r="J18" s="220" t="n"/>
      <c r="K18" s="221" t="n"/>
    </row>
    <row r="19">
      <c r="A19" s="65" t="n"/>
      <c r="B19" s="148" t="n"/>
      <c r="C19" s="109" t="n"/>
      <c r="D19" s="148" t="n"/>
      <c r="E19" s="220" t="n"/>
      <c r="F19" s="220" t="n"/>
      <c r="G19" s="220" t="n"/>
      <c r="H19" s="223" t="n"/>
      <c r="I19" s="148" t="n"/>
      <c r="J19" s="220" t="n"/>
      <c r="K19" s="223" t="n"/>
    </row>
    <row r="20" ht="6.65" customHeight="1" s="36" thickBot="1">
      <c r="A20" s="66" t="n"/>
      <c r="B20" s="67" t="n"/>
      <c r="C20" s="67" t="n"/>
      <c r="D20" s="67" t="n"/>
      <c r="E20" s="68" t="n"/>
      <c r="F20" s="68" t="n"/>
      <c r="G20" s="68" t="n"/>
      <c r="H20" s="68" t="n"/>
      <c r="I20" s="68" t="n"/>
      <c r="J20" s="68" t="n"/>
      <c r="K20" s="63" t="n"/>
    </row>
    <row r="21" ht="15" customHeight="1" s="36" thickBot="1">
      <c r="A21" s="227" t="inlineStr">
        <is>
          <t>Planilha de Apoio à Decisão</t>
        </is>
      </c>
      <c r="B21" s="228" t="n"/>
      <c r="C21" s="228" t="n"/>
      <c r="D21" s="228" t="n"/>
      <c r="E21" s="228" t="n"/>
      <c r="F21" s="228" t="n"/>
      <c r="G21" s="228" t="n"/>
      <c r="H21" s="228" t="n"/>
      <c r="I21" s="228" t="n"/>
      <c r="J21" s="228" t="n"/>
      <c r="K21" s="229" t="n"/>
    </row>
    <row r="22" ht="25.75" customHeight="1" s="36">
      <c r="A22" s="238" t="inlineStr">
        <is>
          <t>Resultado = Multiplica o peso  do criterio vezes a nota de cada alternativa e executa o somatorio de todas as multiplicações
  = total ponderado</t>
        </is>
      </c>
      <c r="B22" s="233" t="n"/>
      <c r="C22" s="233" t="n"/>
      <c r="D22" s="233" t="n"/>
      <c r="E22" s="233" t="n"/>
      <c r="F22" s="233" t="n"/>
      <c r="G22" s="233" t="n"/>
      <c r="H22" s="233" t="n"/>
      <c r="I22" s="233" t="n"/>
      <c r="J22" s="233" t="n"/>
      <c r="K22" s="236" t="n"/>
    </row>
    <row r="23" ht="15" customHeight="1" s="36">
      <c r="A23" s="239" t="inlineStr">
        <is>
          <t>ID da Alternativa</t>
        </is>
      </c>
      <c r="B23" s="240" t="inlineStr">
        <is>
          <t>Alternativas
(Se necessário descrever o cenário da Alternativa.)</t>
        </is>
      </c>
      <c r="C23" s="240" t="inlineStr">
        <is>
          <t>Peso</t>
        </is>
      </c>
      <c r="D23" s="220" t="n"/>
      <c r="E23" s="220" t="n"/>
      <c r="F23" s="220" t="n"/>
      <c r="G23" s="220" t="n"/>
      <c r="H23" s="220" t="n"/>
      <c r="I23" s="220" t="n"/>
      <c r="J23" s="223" t="n"/>
      <c r="K23" s="241" t="inlineStr">
        <is>
          <t>Resultado 
( A escolha da Alternativa será o resultado  de maior valor)</t>
        </is>
      </c>
    </row>
    <row r="24" ht="14.4" customHeight="1" s="36">
      <c r="A24" s="242" t="n"/>
      <c r="B24" s="243" t="n"/>
      <c r="C24" s="82">
        <f>C12</f>
        <v/>
      </c>
      <c r="D24" s="82">
        <f>C13</f>
        <v/>
      </c>
      <c r="E24" s="82">
        <f>C14</f>
        <v/>
      </c>
      <c r="F24" s="82">
        <f>C15</f>
        <v/>
      </c>
      <c r="G24" s="82">
        <f>C16</f>
        <v/>
      </c>
      <c r="H24" s="82">
        <f>C17</f>
        <v/>
      </c>
      <c r="I24" s="82">
        <f>C18</f>
        <v/>
      </c>
      <c r="J24" s="82">
        <f>C19</f>
        <v/>
      </c>
      <c r="K24" s="244" t="n"/>
    </row>
    <row r="25">
      <c r="A25" s="242" t="n"/>
      <c r="B25" s="243" t="n"/>
      <c r="C25" s="160" t="inlineStr">
        <is>
          <t>Critérios</t>
        </is>
      </c>
      <c r="D25" s="220" t="n"/>
      <c r="E25" s="220" t="n"/>
      <c r="F25" s="220" t="n"/>
      <c r="G25" s="220" t="n"/>
      <c r="H25" s="220" t="n"/>
      <c r="I25" s="220" t="n"/>
      <c r="J25" s="223" t="n"/>
      <c r="K25" s="244" t="n"/>
    </row>
    <row r="26" ht="143.4" customHeight="1" s="36">
      <c r="A26" s="242" t="n"/>
      <c r="B26" s="243" t="n"/>
      <c r="C26" s="83">
        <f>A12</f>
        <v/>
      </c>
      <c r="D26" s="83">
        <f>A13</f>
        <v/>
      </c>
      <c r="E26" s="83">
        <f>A14</f>
        <v/>
      </c>
      <c r="F26" s="83">
        <f>A15</f>
        <v/>
      </c>
      <c r="G26" s="83">
        <f>A16</f>
        <v/>
      </c>
      <c r="H26" s="83">
        <f>A17</f>
        <v/>
      </c>
      <c r="I26" s="83">
        <f>A18</f>
        <v/>
      </c>
      <c r="J26" s="83">
        <f>A19</f>
        <v/>
      </c>
      <c r="K26" s="244" t="n"/>
    </row>
    <row r="27" ht="24.5" customHeight="1" s="36">
      <c r="A27" s="245" t="n"/>
      <c r="B27" s="246" t="n"/>
      <c r="C27" s="84" t="inlineStr">
        <is>
          <t>Nota
(0 a 10)</t>
        </is>
      </c>
      <c r="D27" s="84" t="inlineStr">
        <is>
          <t>Nota
(0 a 10)</t>
        </is>
      </c>
      <c r="E27" s="84" t="inlineStr">
        <is>
          <t>Nota
(0 a 10)</t>
        </is>
      </c>
      <c r="F27" s="84" t="inlineStr">
        <is>
          <t>Nota
(0 a 10)</t>
        </is>
      </c>
      <c r="G27" s="84" t="inlineStr">
        <is>
          <t>Nota
(0 a 10)</t>
        </is>
      </c>
      <c r="H27" s="84" t="inlineStr">
        <is>
          <t>Nota
(0 a 10)</t>
        </is>
      </c>
      <c r="I27" s="84" t="inlineStr">
        <is>
          <t>Nota
(0 a 10)</t>
        </is>
      </c>
      <c r="J27" s="84" t="inlineStr">
        <is>
          <t>Nota
(0 a 10)</t>
        </is>
      </c>
      <c r="K27" s="69" t="n"/>
    </row>
    <row r="28" ht="51" customHeight="1" s="36">
      <c r="A28" s="70" t="n">
        <v>1</v>
      </c>
      <c r="B28" s="59" t="inlineStr">
        <is>
          <t>Produtos/Assinaturas por cliente</t>
        </is>
      </c>
      <c r="C28" s="60" t="n">
        <v>5</v>
      </c>
      <c r="D28" s="60" t="n">
        <v>3</v>
      </c>
      <c r="E28" s="60" t="n">
        <v>2</v>
      </c>
      <c r="F28" s="60" t="n">
        <v>9</v>
      </c>
      <c r="G28" s="60" t="n"/>
      <c r="H28" s="60" t="n"/>
      <c r="I28" s="60" t="n"/>
      <c r="J28" s="60" t="n"/>
      <c r="K28" s="71">
        <f>C28*$C$12+D28*$C$13+E28*$C$14+F28*$C$15+G28*$C$16</f>
        <v/>
      </c>
    </row>
    <row r="29" ht="13" customHeight="1" s="36">
      <c r="A29" s="70" t="n">
        <v>2</v>
      </c>
      <c r="B29" s="59" t="inlineStr">
        <is>
          <t>Workspaces APIM dedicados por cliente</t>
        </is>
      </c>
      <c r="C29" s="60" t="n">
        <v>10</v>
      </c>
      <c r="D29" s="60" t="n">
        <v>10</v>
      </c>
      <c r="E29" s="60" t="n">
        <v>9</v>
      </c>
      <c r="F29" s="60" t="n">
        <v>5</v>
      </c>
      <c r="G29" s="60" t="n"/>
      <c r="H29" s="60" t="n"/>
      <c r="I29" s="60" t="n"/>
      <c r="J29" s="60" t="n"/>
      <c r="K29" s="71">
        <f>C29*$C$12+D29*$C$13+E29*$C$14+F29*$C$15+G29*$C$16</f>
        <v/>
      </c>
    </row>
    <row r="30" hidden="1" s="36">
      <c r="A30" s="70" t="n"/>
      <c r="B30" s="59" t="n"/>
      <c r="C30" s="60" t="n"/>
      <c r="D30" s="60" t="n"/>
      <c r="E30" s="60" t="n"/>
      <c r="F30" s="60" t="n"/>
      <c r="G30" s="60" t="n"/>
      <c r="H30" s="60" t="n"/>
      <c r="I30" s="60" t="n"/>
      <c r="J30" s="60" t="n"/>
      <c r="K30" s="71">
        <f>C30*$C$12+D30*$C$13+E30*$C$14+F30*$C$15+G30*$C$16</f>
        <v/>
      </c>
    </row>
    <row r="31">
      <c r="A31" s="70" t="n"/>
      <c r="B31" s="59" t="n"/>
      <c r="C31" s="60" t="n"/>
      <c r="D31" s="60" t="n"/>
      <c r="E31" s="60" t="n"/>
      <c r="F31" s="60" t="n"/>
      <c r="G31" s="60" t="n"/>
      <c r="H31" s="60" t="n"/>
      <c r="I31" s="60" t="n"/>
      <c r="J31" s="60" t="n"/>
      <c r="K31" s="71">
        <f>C31*C24+D31*D24+E31*E24+F31*F24</f>
        <v/>
      </c>
    </row>
    <row r="32">
      <c r="A32" s="70" t="n"/>
      <c r="B32" s="59" t="n"/>
      <c r="C32" s="60" t="n"/>
      <c r="D32" s="60" t="n"/>
      <c r="E32" s="60" t="n"/>
      <c r="F32" s="60" t="n"/>
      <c r="G32" s="60" t="n"/>
      <c r="H32" s="60" t="n"/>
      <c r="I32" s="60" t="n"/>
      <c r="J32" s="60" t="n"/>
      <c r="K32" s="71" t="n">
        <v>0</v>
      </c>
    </row>
    <row r="33">
      <c r="A33" s="70" t="n"/>
      <c r="B33" s="59" t="n"/>
      <c r="C33" s="60" t="n"/>
      <c r="D33" s="60" t="n"/>
      <c r="E33" s="60" t="n"/>
      <c r="F33" s="60" t="n"/>
      <c r="G33" s="60" t="n"/>
      <c r="H33" s="60" t="n"/>
      <c r="I33" s="60" t="n"/>
      <c r="J33" s="60" t="n"/>
      <c r="K33" s="71" t="n">
        <v>0</v>
      </c>
    </row>
    <row r="34">
      <c r="A34" s="70" t="n"/>
      <c r="B34" s="59" t="n"/>
      <c r="C34" s="60" t="n"/>
      <c r="D34" s="60" t="n"/>
      <c r="E34" s="60" t="n"/>
      <c r="F34" s="60" t="n"/>
      <c r="G34" s="60" t="n"/>
      <c r="H34" s="60" t="n"/>
      <c r="I34" s="60" t="n"/>
      <c r="J34" s="60" t="n"/>
      <c r="K34" s="71" t="n">
        <v>0</v>
      </c>
    </row>
    <row r="35">
      <c r="A35" s="70" t="n"/>
      <c r="B35" s="59" t="n"/>
      <c r="C35" s="60" t="n"/>
      <c r="D35" s="60" t="n"/>
      <c r="E35" s="60" t="n"/>
      <c r="F35" s="60" t="n"/>
      <c r="G35" s="60" t="n"/>
      <c r="H35" s="60" t="n"/>
      <c r="I35" s="60" t="n"/>
      <c r="J35" s="60" t="n"/>
      <c r="K35" s="71" t="n">
        <v>0</v>
      </c>
    </row>
    <row r="36">
      <c r="A36" s="70" t="n"/>
      <c r="B36" s="59" t="n"/>
      <c r="C36" s="60" t="n"/>
      <c r="D36" s="60" t="n"/>
      <c r="E36" s="60" t="n"/>
      <c r="F36" s="60" t="n"/>
      <c r="G36" s="60" t="n"/>
      <c r="H36" s="60" t="n"/>
      <c r="I36" s="60" t="n"/>
      <c r="J36" s="60" t="n"/>
      <c r="K36" s="71" t="n">
        <v>0</v>
      </c>
    </row>
    <row r="37">
      <c r="A37" s="70" t="n"/>
      <c r="B37" s="59" t="n"/>
      <c r="C37" s="60" t="n"/>
      <c r="D37" s="60" t="n"/>
      <c r="E37" s="60" t="n"/>
      <c r="F37" s="60" t="n"/>
      <c r="G37" s="60" t="n"/>
      <c r="H37" s="60" t="n"/>
      <c r="I37" s="60" t="n"/>
      <c r="J37" s="60" t="n"/>
      <c r="K37" s="71" t="n">
        <v>0</v>
      </c>
    </row>
    <row r="38">
      <c r="A38" s="70" t="n"/>
      <c r="B38" s="59" t="n"/>
      <c r="C38" s="60" t="n"/>
      <c r="D38" s="60" t="n"/>
      <c r="E38" s="60" t="n"/>
      <c r="F38" s="60" t="n"/>
      <c r="G38" s="60" t="n"/>
      <c r="H38" s="60" t="n"/>
      <c r="I38" s="60" t="n"/>
      <c r="J38" s="60" t="n"/>
      <c r="K38" s="71" t="n">
        <v>0</v>
      </c>
    </row>
    <row r="39">
      <c r="A39" s="72" t="n"/>
      <c r="B39" s="73" t="n"/>
      <c r="C39" s="74" t="n"/>
      <c r="D39" s="74" t="n"/>
      <c r="E39" s="75" t="n"/>
      <c r="F39" s="75" t="n"/>
      <c r="G39" s="75" t="n"/>
      <c r="H39" s="75" t="n"/>
      <c r="I39" s="75" t="n"/>
      <c r="J39" s="75" t="n"/>
      <c r="K39" s="76" t="n"/>
    </row>
    <row r="40" ht="15" customHeight="1" s="36" thickBot="1">
      <c r="A40" s="247" t="inlineStr">
        <is>
          <t>Anexos / proveniência: derivado de GDE-GASMIG02-001 (decisão de isolamento de clientes no Azure APIM). Conversão de pesos: Alto=5, Médio=3, Baixo=1. Notas 0–10 derivadas da matriz qualitativa documentada; alternativa vencedora coincide com a decisão registrada (Workspaces).</t>
        </is>
      </c>
      <c r="B40" s="248" t="n"/>
      <c r="C40" s="248" t="n"/>
      <c r="D40" s="248" t="n"/>
      <c r="E40" s="248" t="n"/>
      <c r="F40" s="248" t="n"/>
      <c r="G40" s="248" t="n"/>
      <c r="H40" s="248" t="n"/>
      <c r="I40" s="248" t="n"/>
      <c r="J40" s="248" t="n"/>
      <c r="K40" s="249" t="n"/>
    </row>
  </sheetData>
  <mergeCells count="35">
    <mergeCell ref="I16:K16"/>
    <mergeCell ref="D19:H19"/>
    <mergeCell ref="I12:K12"/>
    <mergeCell ref="B6:K6"/>
    <mergeCell ref="I18:K18"/>
    <mergeCell ref="A23:A27"/>
    <mergeCell ref="A1:K1"/>
    <mergeCell ref="B5:K5"/>
    <mergeCell ref="B4:K4"/>
    <mergeCell ref="I14:K14"/>
    <mergeCell ref="C25:J25"/>
    <mergeCell ref="D13:H13"/>
    <mergeCell ref="D11:H11"/>
    <mergeCell ref="B7:K7"/>
    <mergeCell ref="I17:K17"/>
    <mergeCell ref="B3:K3"/>
    <mergeCell ref="D17:H17"/>
    <mergeCell ref="I19:K19"/>
    <mergeCell ref="D16:H16"/>
    <mergeCell ref="A21:K21"/>
    <mergeCell ref="I13:K13"/>
    <mergeCell ref="K23:K26"/>
    <mergeCell ref="A2:K2"/>
    <mergeCell ref="D18:H18"/>
    <mergeCell ref="C23:J23"/>
    <mergeCell ref="I15:K15"/>
    <mergeCell ref="A22:K22"/>
    <mergeCell ref="D12:H12"/>
    <mergeCell ref="I11:K11"/>
    <mergeCell ref="D15:H15"/>
    <mergeCell ref="B8:K8"/>
    <mergeCell ref="A10:K10"/>
    <mergeCell ref="D14:H14"/>
    <mergeCell ref="B23:B27"/>
    <mergeCell ref="A40:K40"/>
  </mergeCells>
  <pageMargins left="0.511811024" right="0.511811024" top="0.787401575" bottom="0.787401575" header="0.31496062" footer="0.31496062"/>
  <pageSetup orientation="portrait" paperSize="9" horizontalDpi="0" verticalDpi="0"/>
</worksheet>
</file>

<file path=xl/worksheets/sheet3.xml><?xml version="1.0" encoding="utf-8"?>
<worksheet xmlns="http://schemas.openxmlformats.org/spreadsheetml/2006/main">
  <sheetPr codeName="Plan2">
    <outlinePr summaryBelow="1" summaryRight="1"/>
    <pageSetUpPr/>
  </sheetPr>
  <dimension ref="B7:H27"/>
  <sheetViews>
    <sheetView topLeftCell="A4" zoomScale="85" zoomScaleNormal="85" workbookViewId="0">
      <selection activeCell="F28" sqref="F28"/>
    </sheetView>
  </sheetViews>
  <sheetFormatPr baseColWidth="8" defaultColWidth="8.90625" defaultRowHeight="14.5"/>
  <cols>
    <col width="8.90625" customWidth="1" style="36" min="1" max="1"/>
    <col width="12.90625" bestFit="1" customWidth="1" style="36" min="2" max="2"/>
    <col width="32.08984375" bestFit="1" customWidth="1" style="36" min="3" max="3"/>
    <col width="16" bestFit="1" customWidth="1" style="36" min="4" max="4"/>
    <col width="16" customWidth="1" style="36" min="5" max="5"/>
    <col width="11.54296875" bestFit="1" customWidth="1" style="36" min="6" max="6"/>
    <col width="11.54296875" customWidth="1" style="36" min="7" max="7"/>
    <col width="8.90625" customWidth="1" style="36" min="8" max="16384"/>
  </cols>
  <sheetData>
    <row r="7">
      <c r="B7" s="250" t="inlineStr">
        <is>
          <t>Demanda: SINKRON-X</t>
        </is>
      </c>
      <c r="C7" s="251" t="n"/>
      <c r="D7" s="251" t="n"/>
      <c r="E7" s="251" t="n"/>
      <c r="F7" s="208" t="n"/>
    </row>
    <row r="8" ht="30.75" customHeight="1" s="36">
      <c r="B8" s="166" t="n"/>
      <c r="C8" s="252" t="n"/>
      <c r="D8" s="252" t="n"/>
      <c r="E8" s="252" t="n"/>
      <c r="F8" s="252" t="n"/>
    </row>
    <row r="10" ht="15" customHeight="1" s="36" thickBot="1">
      <c r="B10" s="250" t="inlineStr">
        <is>
          <t>Estimativa</t>
        </is>
      </c>
      <c r="C10" s="251" t="n"/>
      <c r="D10" s="251" t="n"/>
      <c r="E10" s="251" t="n"/>
      <c r="F10" s="208" t="n"/>
    </row>
    <row r="11" ht="31.5" customHeight="1" s="36" thickBot="1">
      <c r="B11" s="1" t="inlineStr">
        <is>
          <t>Fases</t>
        </is>
      </c>
      <c r="C11" s="1" t="inlineStr">
        <is>
          <t>Atividades</t>
        </is>
      </c>
      <c r="D11" s="1" t="inlineStr">
        <is>
          <t>Function Points</t>
        </is>
      </c>
      <c r="E11" s="1" t="inlineStr">
        <is>
          <t>Peso</t>
        </is>
      </c>
      <c r="F11" s="1" t="inlineStr">
        <is>
          <t>Esforço (Jornadas)</t>
        </is>
      </c>
    </row>
    <row r="12" ht="15" customHeight="1" s="36">
      <c r="B12" s="164" t="inlineStr">
        <is>
          <t>Análise</t>
        </is>
      </c>
      <c r="C12" s="37" t="inlineStr">
        <is>
          <t>Historia/Funcional</t>
        </is>
      </c>
      <c r="D12" s="44">
        <f>_xlfn.CEILING.MATH('Planning Poker'!$J$25*Estimativa_Cliente!E12)</f>
        <v/>
      </c>
      <c r="E12" s="22" t="n">
        <v>0.02</v>
      </c>
      <c r="F12" s="253">
        <f>SUM(D12:D13) *4/8</f>
        <v/>
      </c>
      <c r="H12" t="inlineStr">
        <is>
          <t>Entendimento da história do Jira</t>
        </is>
      </c>
    </row>
    <row r="13" ht="15" customHeight="1" s="36" thickBot="1">
      <c r="B13" s="254" t="n"/>
      <c r="C13" s="38" t="inlineStr">
        <is>
          <t>Planning Poker</t>
        </is>
      </c>
      <c r="D13" s="45">
        <f>_xlfn.CEILING.MATH('Planning Poker'!$J$25*Estimativa_Cliente!E13)</f>
        <v/>
      </c>
      <c r="E13" s="23" t="n">
        <v>0.01</v>
      </c>
      <c r="F13" s="255" t="n"/>
      <c r="H13" t="inlineStr">
        <is>
          <t>Elaborar Estimativa</t>
        </is>
      </c>
    </row>
    <row r="14" ht="29" customHeight="1" s="36">
      <c r="B14" s="256" t="inlineStr">
        <is>
          <t>Desenho</t>
        </is>
      </c>
      <c r="C14" s="37" t="inlineStr">
        <is>
          <t>Coleta e entendimento dos objetos envolvidos.</t>
        </is>
      </c>
      <c r="D14" s="44">
        <f>_xlfn.CEILING.MATH('Planning Poker'!$J$25*Estimativa_Cliente!E14)</f>
        <v/>
      </c>
      <c r="E14" s="22" t="n">
        <v>0.02</v>
      </c>
      <c r="F14" s="253">
        <f>SUM(D14:D17) *4/8</f>
        <v/>
      </c>
      <c r="G14" t="inlineStr">
        <is>
          <t>Especificação Técnica</t>
        </is>
      </c>
    </row>
    <row r="15" ht="29" customHeight="1" s="36">
      <c r="B15" s="257" t="n"/>
      <c r="C15" s="39" t="inlineStr">
        <is>
          <t>Definição da técnologia utilizada e abordagem</t>
        </is>
      </c>
      <c r="D15" s="46">
        <f>_xlfn.CEILING.MATH('Planning Poker'!$J$25*Estimativa_Cliente!E15)</f>
        <v/>
      </c>
      <c r="E15" s="21" t="n">
        <v>0.02</v>
      </c>
      <c r="F15" s="258" t="n"/>
    </row>
    <row r="16" ht="15.5" customHeight="1" s="36">
      <c r="B16" s="257" t="n"/>
      <c r="C16" s="40" t="inlineStr">
        <is>
          <t>Elaboração e planejamento</t>
        </is>
      </c>
      <c r="D16" s="46">
        <f>_xlfn.CEILING.MATH('Planning Poker'!$J$25*Estimativa_Cliente!E16)</f>
        <v/>
      </c>
      <c r="E16" s="21" t="n">
        <v>0.03</v>
      </c>
      <c r="F16" s="258" t="n"/>
    </row>
    <row r="17" ht="29.5" customHeight="1" s="36" thickBot="1">
      <c r="B17" s="259" t="n"/>
      <c r="C17" s="38" t="inlineStr">
        <is>
          <t>Criação da documentação técnica parcial.</t>
        </is>
      </c>
      <c r="D17" s="45">
        <f>_xlfn.CEILING.MATH('Planning Poker'!$J$25*Estimativa_Cliente!E17)</f>
        <v/>
      </c>
      <c r="E17" s="23" t="n">
        <v>0.01</v>
      </c>
      <c r="F17" s="255" t="n"/>
    </row>
    <row r="18" ht="15.5" customHeight="1" s="36">
      <c r="B18" s="256" t="inlineStr">
        <is>
          <t>Construção</t>
        </is>
      </c>
      <c r="C18" s="37" t="inlineStr">
        <is>
          <t>Desenvolvimento</t>
        </is>
      </c>
      <c r="D18" s="44">
        <f>_xlfn.CEILING.MATH('Planning Poker'!$J$25*Estimativa_Cliente!E18)</f>
        <v/>
      </c>
      <c r="E18" s="22" t="n">
        <v>0.3</v>
      </c>
      <c r="F18" s="253">
        <f>SUM(D18:D22)*4/8</f>
        <v/>
      </c>
      <c r="H18" t="inlineStr">
        <is>
          <t>Desenvolvimento</t>
        </is>
      </c>
    </row>
    <row r="19" ht="15.5" customHeight="1" s="36">
      <c r="B19" s="257" t="n"/>
      <c r="C19" s="39" t="inlineStr">
        <is>
          <t>Teste Unitário</t>
        </is>
      </c>
      <c r="D19" s="46">
        <f>_xlfn.CEILING.MATH('Planning Poker'!$J$25*Estimativa_Cliente!E19)</f>
        <v/>
      </c>
      <c r="E19" s="21" t="n">
        <v>0.1</v>
      </c>
      <c r="F19" s="258" t="n"/>
      <c r="H19" t="inlineStr">
        <is>
          <t>Desenvolvimento</t>
        </is>
      </c>
    </row>
    <row r="20" ht="15.5" customHeight="1" s="36">
      <c r="B20" s="257" t="n"/>
      <c r="C20" s="39" t="inlineStr">
        <is>
          <t>Profiling</t>
        </is>
      </c>
      <c r="D20" s="46">
        <f>_xlfn.CEILING.MATH('Planning Poker'!$J$25*Estimativa_Cliente!E20)</f>
        <v/>
      </c>
      <c r="E20" s="21" t="n">
        <v>0.1</v>
      </c>
      <c r="F20" s="258" t="n"/>
    </row>
    <row r="21" ht="15" customHeight="1" s="36">
      <c r="B21" s="257" t="n"/>
      <c r="C21" s="39" t="inlineStr">
        <is>
          <t>Code Review</t>
        </is>
      </c>
      <c r="D21" s="46">
        <f>_xlfn.CEILING.MATH('Planning Poker'!$J$25*Estimativa_Cliente!E21)</f>
        <v/>
      </c>
      <c r="E21" s="21" t="n">
        <v>0.05</v>
      </c>
      <c r="F21" s="258" t="n"/>
      <c r="H21" t="inlineStr">
        <is>
          <t>Code Review</t>
        </is>
      </c>
    </row>
    <row r="22" ht="15.75" customHeight="1" s="36" thickBot="1">
      <c r="B22" s="259" t="n"/>
      <c r="C22" s="38" t="inlineStr">
        <is>
          <t>Conclusão</t>
        </is>
      </c>
      <c r="D22" s="45">
        <f>_xlfn.CEILING.MATH('Planning Poker'!$J$25*Estimativa_Cliente!E22)</f>
        <v/>
      </c>
      <c r="E22" s="23" t="n">
        <v>0.05</v>
      </c>
      <c r="F22" s="255" t="n"/>
    </row>
    <row r="23" ht="15.5" customHeight="1" s="36">
      <c r="B23" s="164" t="inlineStr">
        <is>
          <t>Teste</t>
        </is>
      </c>
      <c r="C23" s="37" t="inlineStr">
        <is>
          <t>Criação dos Cenários de Testes</t>
        </is>
      </c>
      <c r="D23" s="44">
        <f>_xlfn.CEILING.MATH('Planning Poker'!$J$25*Estimativa_Cliente!E23)</f>
        <v/>
      </c>
      <c r="E23" s="22" t="n">
        <v>0.07000000000000001</v>
      </c>
      <c r="F23" s="253">
        <f>SUM(D23:D24)*4/8</f>
        <v/>
      </c>
      <c r="H23" t="inlineStr">
        <is>
          <t>Elaboração/Execução de testes (DET)</t>
        </is>
      </c>
    </row>
    <row r="24" ht="44" customHeight="1" s="36" thickBot="1">
      <c r="B24" s="254" t="n"/>
      <c r="C24" s="38" t="inlineStr">
        <is>
          <t>Execução dos Cenários de Testes (Não pode ser executado pelo criador dos cenários de testes)</t>
        </is>
      </c>
      <c r="D24" s="45">
        <f>_xlfn.CEILING.MATH('Planning Poker'!$J$25*Estimativa_Cliente!E24)</f>
        <v/>
      </c>
      <c r="E24" s="23" t="n">
        <v>0.1</v>
      </c>
      <c r="F24" s="255" t="n"/>
    </row>
    <row r="25" ht="15.5" customHeight="1" s="36">
      <c r="B25" s="172" t="inlineStr">
        <is>
          <t>Produção</t>
        </is>
      </c>
      <c r="C25" s="41" t="inlineStr">
        <is>
          <t>Aplicação em Produção</t>
        </is>
      </c>
      <c r="D25" s="44">
        <f>_xlfn.CEILING.MATH('Planning Poker'!$J$25*Estimativa_Cliente!E25)</f>
        <v/>
      </c>
      <c r="E25" s="22" t="n">
        <v>0.05</v>
      </c>
      <c r="F25" s="253">
        <f>SUM(D25:D26)*4/8</f>
        <v/>
      </c>
      <c r="G25" t="inlineStr">
        <is>
          <t>Documentação final</t>
        </is>
      </c>
    </row>
    <row r="26" ht="29.5" customHeight="1" s="36" thickBot="1">
      <c r="B26" s="260" t="n"/>
      <c r="C26" s="42" t="inlineStr">
        <is>
          <t>Atualização da Documentação com a versão final</t>
        </is>
      </c>
      <c r="D26" s="45">
        <f>_xlfn.CEILING.MATH('Planning Poker'!$J$25*Estimativa_Cliente!E26)</f>
        <v/>
      </c>
      <c r="E26" s="23" t="n">
        <v>0.07000000000000001</v>
      </c>
      <c r="F26" s="255" t="n"/>
    </row>
    <row r="27" ht="16" customHeight="1" s="36" thickBot="1">
      <c r="D27" s="47">
        <f>SUM(D12:D26)</f>
        <v/>
      </c>
      <c r="E27" s="24">
        <f>SUM(E12:E26)</f>
        <v/>
      </c>
      <c r="F27" s="20">
        <f>SUM(F12:F26)</f>
        <v/>
      </c>
    </row>
  </sheetData>
  <mergeCells count="13">
    <mergeCell ref="B23:B24"/>
    <mergeCell ref="B14:B17"/>
    <mergeCell ref="B18:B22"/>
    <mergeCell ref="F14:F17"/>
    <mergeCell ref="B7:F7"/>
    <mergeCell ref="F25:F26"/>
    <mergeCell ref="B12:B13"/>
    <mergeCell ref="B10:F10"/>
    <mergeCell ref="F12:F13"/>
    <mergeCell ref="B25:B26"/>
    <mergeCell ref="F23:F24"/>
    <mergeCell ref="F18:F22"/>
    <mergeCell ref="B8:F8"/>
  </mergeCells>
  <pageMargins left="0.511811024" right="0.511811024" top="0.787401575" bottom="0.787401575" header="0.31496062" footer="0.31496062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7:H28"/>
  <sheetViews>
    <sheetView zoomScale="85" zoomScaleNormal="85" workbookViewId="0">
      <selection activeCell="F12" sqref="F12"/>
    </sheetView>
  </sheetViews>
  <sheetFormatPr baseColWidth="8" defaultColWidth="8.90625" defaultRowHeight="14.5"/>
  <cols>
    <col width="8.90625" customWidth="1" style="36" min="1" max="1"/>
    <col width="12.90625" bestFit="1" customWidth="1" style="36" min="2" max="2"/>
    <col width="32.08984375" bestFit="1" customWidth="1" style="36" min="3" max="3"/>
    <col width="34.08984375" customWidth="1" style="36" min="4" max="4"/>
    <col width="32.08984375" customWidth="1" style="36" min="5" max="5"/>
    <col width="16" bestFit="1" customWidth="1" style="36" min="6" max="6"/>
    <col width="16" customWidth="1" style="36" min="7" max="7"/>
    <col width="11.54296875" bestFit="1" customWidth="1" style="36" min="8" max="8"/>
    <col width="11.54296875" customWidth="1" style="36" min="9" max="9"/>
    <col width="8.90625" customWidth="1" style="36" min="10" max="16384"/>
  </cols>
  <sheetData>
    <row r="7">
      <c r="B7" s="250" t="inlineStr">
        <is>
          <t>Demanda: SINKRON-X</t>
        </is>
      </c>
      <c r="C7" s="251" t="n"/>
      <c r="D7" s="251" t="n"/>
      <c r="E7" s="251" t="n"/>
      <c r="F7" s="251" t="n"/>
      <c r="G7" s="251" t="n"/>
      <c r="H7" s="208" t="n"/>
    </row>
    <row r="8" ht="30.75" customHeight="1" s="36">
      <c r="B8" s="166" t="n"/>
      <c r="C8" s="252" t="n"/>
      <c r="D8" s="252" t="n"/>
      <c r="E8" s="252" t="n"/>
      <c r="F8" s="252" t="n"/>
      <c r="G8" s="252" t="n"/>
      <c r="H8" s="252" t="n"/>
    </row>
    <row r="10">
      <c r="B10" s="250" t="inlineStr">
        <is>
          <t>Estimativa</t>
        </is>
      </c>
      <c r="C10" s="251" t="n"/>
      <c r="D10" s="251" t="n"/>
      <c r="E10" s="251" t="n"/>
      <c r="F10" s="251" t="n"/>
      <c r="G10" s="251" t="n"/>
      <c r="H10" s="208" t="n"/>
    </row>
    <row r="11" ht="15" customHeight="1" s="36" thickBot="1">
      <c r="B11" s="183" t="inlineStr">
        <is>
          <t>Visão cliente</t>
        </is>
      </c>
      <c r="C11" s="261" t="n"/>
      <c r="D11" s="182" t="inlineStr">
        <is>
          <t>Visão Projeto</t>
        </is>
      </c>
      <c r="E11" s="261" t="n"/>
      <c r="F11" s="184" t="inlineStr">
        <is>
          <t>Visão Geral</t>
        </is>
      </c>
      <c r="G11" s="261" t="n"/>
      <c r="H11" s="262" t="n"/>
    </row>
    <row r="12" ht="31" customHeight="1" s="36">
      <c r="B12" s="1" t="inlineStr">
        <is>
          <t>Fases</t>
        </is>
      </c>
      <c r="C12" s="1" t="inlineStr">
        <is>
          <t>Atividades</t>
        </is>
      </c>
      <c r="D12" s="1" t="inlineStr">
        <is>
          <t>Atividades do ciclo de vida 
(Subtarefas do Jira)</t>
        </is>
      </c>
      <c r="E12" s="1" t="inlineStr">
        <is>
          <t>Esforço Projeto (Jira) 
(Jornadas)</t>
        </is>
      </c>
      <c r="F12" s="1" t="inlineStr">
        <is>
          <t>Function Points</t>
        </is>
      </c>
      <c r="G12" s="1" t="inlineStr">
        <is>
          <t>Peso</t>
        </is>
      </c>
      <c r="H12" s="1" t="inlineStr">
        <is>
          <t>Esforço (Jornadas)</t>
        </is>
      </c>
    </row>
    <row r="13" ht="15" customHeight="1" s="36">
      <c r="B13" s="179" t="inlineStr">
        <is>
          <t>Análise</t>
        </is>
      </c>
      <c r="C13" s="39" t="inlineStr">
        <is>
          <t>Historia/Funcional</t>
        </is>
      </c>
      <c r="D13" s="181" t="inlineStr">
        <is>
          <t>Entendimento da história do Jira</t>
        </is>
      </c>
      <c r="E13" s="55">
        <f>F13*(4/8)</f>
        <v/>
      </c>
      <c r="F13" s="46">
        <f>_xlfn.CEILING.MATH('Planning Poker'!$J$25*Estimativa_Projeto!G13)</f>
        <v/>
      </c>
      <c r="G13" s="21" t="n">
        <v>0.02</v>
      </c>
      <c r="H13" s="178">
        <f>SUM(F13:F14) *4/8</f>
        <v/>
      </c>
    </row>
    <row r="14" ht="15" customHeight="1" s="36">
      <c r="B14" s="263" t="n"/>
      <c r="C14" s="39" t="inlineStr">
        <is>
          <t>Planning Poker</t>
        </is>
      </c>
      <c r="D14" s="181" t="inlineStr">
        <is>
          <t>Elaborar Estimativa</t>
        </is>
      </c>
      <c r="E14" s="55">
        <f>F14*(4/8)</f>
        <v/>
      </c>
      <c r="F14" s="46">
        <f>_xlfn.CEILING.MATH('Planning Poker'!$J$25*Estimativa_Projeto!G14)</f>
        <v/>
      </c>
      <c r="G14" s="21" t="n">
        <v>0.01</v>
      </c>
      <c r="H14" s="263" t="n"/>
    </row>
    <row r="15" ht="29" customHeight="1" s="36">
      <c r="B15" s="179" t="inlineStr">
        <is>
          <t>Desenho</t>
        </is>
      </c>
      <c r="C15" s="39" t="inlineStr">
        <is>
          <t>Coleta e entendimento dos objetos envolvidos.</t>
        </is>
      </c>
      <c r="D15" s="181" t="inlineStr">
        <is>
          <t>Especificação Técnica</t>
        </is>
      </c>
      <c r="E15" s="264">
        <f>SUM(F15:F18)*(4/8)</f>
        <v/>
      </c>
      <c r="F15" s="46">
        <f>_xlfn.CEILING.MATH('Planning Poker'!$J$25*Estimativa_Projeto!G15)</f>
        <v/>
      </c>
      <c r="G15" s="21" t="n">
        <v>0.02</v>
      </c>
      <c r="H15" s="178">
        <f>SUM(F15:F18) *4/8</f>
        <v/>
      </c>
    </row>
    <row r="16" ht="29" customHeight="1" s="36">
      <c r="B16" s="265" t="n"/>
      <c r="C16" s="39" t="inlineStr">
        <is>
          <t>Definição da técnologia utilizada e abordagem</t>
        </is>
      </c>
      <c r="D16" s="265" t="n"/>
      <c r="E16" s="265" t="n"/>
      <c r="F16" s="46">
        <f>_xlfn.CEILING.MATH('Planning Poker'!$J$25*Estimativa_Projeto!G16)</f>
        <v/>
      </c>
      <c r="G16" s="21" t="n">
        <v>0.02</v>
      </c>
      <c r="H16" s="265" t="n"/>
    </row>
    <row r="17" ht="15.5" customHeight="1" s="36">
      <c r="B17" s="265" t="n"/>
      <c r="C17" s="39" t="inlineStr">
        <is>
          <t>Elaboração e planejamento</t>
        </is>
      </c>
      <c r="D17" s="265" t="n"/>
      <c r="E17" s="265" t="n"/>
      <c r="F17" s="46">
        <f>_xlfn.CEILING.MATH('Planning Poker'!$J$25*Estimativa_Projeto!G17)</f>
        <v/>
      </c>
      <c r="G17" s="21" t="n">
        <v>0.03</v>
      </c>
      <c r="H17" s="265" t="n"/>
    </row>
    <row r="18" ht="29" customHeight="1" s="36">
      <c r="B18" s="263" t="n"/>
      <c r="C18" s="39" t="inlineStr">
        <is>
          <t>Criação da documentação técnica parcial.</t>
        </is>
      </c>
      <c r="D18" s="263" t="n"/>
      <c r="E18" s="263" t="n"/>
      <c r="F18" s="46">
        <f>_xlfn.CEILING.MATH('Planning Poker'!$J$25*Estimativa_Projeto!G18)</f>
        <v/>
      </c>
      <c r="G18" s="21" t="n">
        <v>0.01</v>
      </c>
      <c r="H18" s="263" t="n"/>
    </row>
    <row r="19" ht="15.5" customHeight="1" s="36">
      <c r="B19" s="179" t="inlineStr">
        <is>
          <t>Construção</t>
        </is>
      </c>
      <c r="C19" s="39" t="inlineStr">
        <is>
          <t>Desenvolvimento</t>
        </is>
      </c>
      <c r="D19" s="181" t="inlineStr">
        <is>
          <t>Desenvolvimento</t>
        </is>
      </c>
      <c r="E19" s="264">
        <f>(SUM(F19:F21)+F23)*(4/8)</f>
        <v/>
      </c>
      <c r="F19" s="46">
        <f>_xlfn.CEILING.MATH('Planning Poker'!$J$25*Estimativa_Projeto!G19)</f>
        <v/>
      </c>
      <c r="G19" s="21" t="n">
        <v>0.3</v>
      </c>
      <c r="H19" s="178">
        <f>SUM(F19:F23)*4/8</f>
        <v/>
      </c>
    </row>
    <row r="20" ht="15.5" customHeight="1" s="36">
      <c r="B20" s="265" t="n"/>
      <c r="C20" s="39" t="inlineStr">
        <is>
          <t>Teste Unitário</t>
        </is>
      </c>
      <c r="D20" s="265" t="n"/>
      <c r="E20" s="265" t="n"/>
      <c r="F20" s="46">
        <f>_xlfn.CEILING.MATH('Planning Poker'!$J$25*Estimativa_Projeto!G20)</f>
        <v/>
      </c>
      <c r="G20" s="21" t="n">
        <v>0.1</v>
      </c>
      <c r="H20" s="265" t="n"/>
    </row>
    <row r="21" ht="15.5" customHeight="1" s="36">
      <c r="B21" s="265" t="n"/>
      <c r="C21" s="39" t="inlineStr">
        <is>
          <t>Profiling</t>
        </is>
      </c>
      <c r="D21" s="263" t="n"/>
      <c r="E21" s="263" t="n"/>
      <c r="F21" s="46">
        <f>_xlfn.CEILING.MATH('Planning Poker'!$J$25*Estimativa_Projeto!G21)</f>
        <v/>
      </c>
      <c r="G21" s="21" t="n">
        <v>0.1</v>
      </c>
      <c r="H21" s="265" t="n"/>
    </row>
    <row r="22" ht="15" customHeight="1" s="36">
      <c r="B22" s="265" t="n"/>
      <c r="C22" s="39" t="inlineStr">
        <is>
          <t>Code Review</t>
        </is>
      </c>
      <c r="D22" s="181" t="inlineStr">
        <is>
          <t>Code Review</t>
        </is>
      </c>
      <c r="E22" s="55">
        <f>F22*(4/8)</f>
        <v/>
      </c>
      <c r="F22" s="46">
        <f>_xlfn.CEILING.MATH('Planning Poker'!$J$25*Estimativa_Projeto!G22)</f>
        <v/>
      </c>
      <c r="G22" s="21" t="n">
        <v>0.05</v>
      </c>
      <c r="H22" s="265" t="n"/>
    </row>
    <row r="23" ht="15.75" customHeight="1" s="36">
      <c r="B23" s="263" t="n"/>
      <c r="C23" s="39" t="inlineStr">
        <is>
          <t>Conclusão</t>
        </is>
      </c>
      <c r="D23" s="181" t="inlineStr">
        <is>
          <t>Desenvolvimento</t>
        </is>
      </c>
      <c r="E23" s="56" t="n"/>
      <c r="F23" s="46">
        <f>_xlfn.CEILING.MATH('Planning Poker'!$J$25*Estimativa_Projeto!G23)</f>
        <v/>
      </c>
      <c r="G23" s="21" t="n">
        <v>0.05</v>
      </c>
      <c r="H23" s="263" t="n"/>
    </row>
    <row r="24" ht="15.5" customHeight="1" s="36">
      <c r="B24" s="179" t="inlineStr">
        <is>
          <t>Teste</t>
        </is>
      </c>
      <c r="C24" s="39" t="inlineStr">
        <is>
          <t>Criação dos Cenários de Testes</t>
        </is>
      </c>
      <c r="D24" s="181" t="inlineStr">
        <is>
          <t>Elaboração/Execução de testes (DET)</t>
        </is>
      </c>
      <c r="E24" s="264">
        <f>SUM(F24:F25)*(4/8)</f>
        <v/>
      </c>
      <c r="F24" s="46">
        <f>_xlfn.CEILING.MATH('Planning Poker'!$J$25*Estimativa_Projeto!G24)</f>
        <v/>
      </c>
      <c r="G24" s="21" t="n">
        <v>0.07000000000000001</v>
      </c>
      <c r="H24" s="178">
        <f>SUM(F24:F25)*4/8</f>
        <v/>
      </c>
    </row>
    <row r="25" ht="43.5" customHeight="1" s="36">
      <c r="B25" s="263" t="n"/>
      <c r="C25" s="39" t="inlineStr">
        <is>
          <t>Execução dos Cenários de Testes (Não pode ser executado pelo criador dos cenários de testes)</t>
        </is>
      </c>
      <c r="D25" s="263" t="n"/>
      <c r="E25" s="263" t="n"/>
      <c r="F25" s="46">
        <f>_xlfn.CEILING.MATH('Planning Poker'!$J$25*Estimativa_Projeto!G25)</f>
        <v/>
      </c>
      <c r="G25" s="21" t="n">
        <v>0.1</v>
      </c>
      <c r="H25" s="263" t="n"/>
    </row>
    <row r="26" ht="15.5" customHeight="1" s="36">
      <c r="B26" s="179" t="inlineStr">
        <is>
          <t>Produção</t>
        </is>
      </c>
      <c r="C26" s="39" t="inlineStr">
        <is>
          <t>Aplicação em Produção</t>
        </is>
      </c>
      <c r="D26" s="181" t="inlineStr">
        <is>
          <t>Documentação final</t>
        </is>
      </c>
      <c r="E26" s="175">
        <f>SUM(F26:F27)*(4/8)</f>
        <v/>
      </c>
      <c r="F26" s="46">
        <f>_xlfn.CEILING.MATH('Planning Poker'!$J$25*Estimativa_Projeto!G26)</f>
        <v/>
      </c>
      <c r="G26" s="21" t="n">
        <v>0.05</v>
      </c>
      <c r="H26" s="178">
        <f>SUM(F26:F27)*4/8</f>
        <v/>
      </c>
    </row>
    <row r="27" ht="29.5" customHeight="1" s="36" thickBot="1">
      <c r="B27" s="263" t="n"/>
      <c r="C27" s="39" t="inlineStr">
        <is>
          <t>Atualização da Documentação com a versão final</t>
        </is>
      </c>
      <c r="D27" s="263" t="n"/>
      <c r="E27" s="265" t="n"/>
      <c r="F27" s="50">
        <f>_xlfn.CEILING.MATH('Planning Poker'!$J$25*Estimativa_Projeto!G27)</f>
        <v/>
      </c>
      <c r="G27" s="51" t="n">
        <v>0.07000000000000001</v>
      </c>
      <c r="H27" s="263" t="n"/>
    </row>
    <row r="28" ht="16" customHeight="1" s="36" thickBot="1">
      <c r="E28" s="49">
        <f>SUM(E13:E27)</f>
        <v/>
      </c>
      <c r="F28" s="52">
        <f>SUM(F13:F27)</f>
        <v/>
      </c>
      <c r="G28" s="53">
        <f>SUM(G13:G27)</f>
        <v/>
      </c>
      <c r="H28" s="54">
        <f>SUM(H13:H27)</f>
        <v/>
      </c>
    </row>
  </sheetData>
  <mergeCells count="24">
    <mergeCell ref="H26:H27"/>
    <mergeCell ref="B19:B23"/>
    <mergeCell ref="H19:H23"/>
    <mergeCell ref="B11:C11"/>
    <mergeCell ref="B13:B14"/>
    <mergeCell ref="D11:E11"/>
    <mergeCell ref="B7:H7"/>
    <mergeCell ref="E15:E18"/>
    <mergeCell ref="D19:D21"/>
    <mergeCell ref="B24:B25"/>
    <mergeCell ref="D24:D25"/>
    <mergeCell ref="H13:H14"/>
    <mergeCell ref="B15:B18"/>
    <mergeCell ref="D15:D18"/>
    <mergeCell ref="E26:E27"/>
    <mergeCell ref="F11:H11"/>
    <mergeCell ref="H24:H25"/>
    <mergeCell ref="B8:H8"/>
    <mergeCell ref="D26:D27"/>
    <mergeCell ref="H15:H18"/>
    <mergeCell ref="E19:E21"/>
    <mergeCell ref="B10:H10"/>
    <mergeCell ref="B26:B27"/>
    <mergeCell ref="E24:E25"/>
  </mergeCells>
  <pageMargins left="0.511811024" right="0.511811024" top="0.787401575" bottom="0.787401575" header="0.31496062" footer="0.31496062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J27"/>
  <sheetViews>
    <sheetView workbookViewId="0">
      <selection activeCell="B3" sqref="B3:C3"/>
    </sheetView>
  </sheetViews>
  <sheetFormatPr baseColWidth="8" defaultRowHeight="14.5"/>
  <cols>
    <col width="27.6328125" customWidth="1" style="36" min="2" max="3"/>
    <col width="10.54296875" customWidth="1" style="36" min="4" max="4"/>
    <col width="3" bestFit="1" customWidth="1" style="36" min="5" max="5"/>
    <col width="2" bestFit="1" customWidth="1" style="36" min="6" max="8"/>
    <col width="8" customWidth="1" style="36" min="9" max="9"/>
  </cols>
  <sheetData>
    <row r="1" ht="15" customHeight="1" s="36" thickBot="1"/>
    <row r="2" ht="16" customHeight="1" s="36" thickBot="1">
      <c r="B2" s="19" t="inlineStr">
        <is>
          <t>Planning Poker</t>
        </is>
      </c>
      <c r="C2" s="210" t="n"/>
      <c r="D2" s="210" t="n"/>
      <c r="E2" s="210" t="n"/>
      <c r="F2" s="210" t="n"/>
      <c r="G2" s="210" t="n"/>
      <c r="H2" s="210" t="n"/>
      <c r="I2" s="210" t="n"/>
      <c r="J2" s="211" t="n"/>
    </row>
    <row r="3" ht="16.5" customHeight="1" s="36" thickBot="1">
      <c r="B3" s="197" t="inlineStr">
        <is>
          <t>Funcionalidade</t>
        </is>
      </c>
      <c r="C3" s="266" t="n"/>
      <c r="D3" s="19" t="inlineStr">
        <is>
          <t>Function Points</t>
        </is>
      </c>
      <c r="E3" s="210" t="n"/>
      <c r="F3" s="210" t="n"/>
      <c r="G3" s="210" t="n"/>
      <c r="H3" s="210" t="n"/>
      <c r="I3" s="210" t="n"/>
      <c r="J3" s="211" t="n"/>
    </row>
    <row r="4" ht="15" customHeight="1" s="36" thickBot="1">
      <c r="B4" s="267" t="n"/>
      <c r="C4" s="214" t="n"/>
      <c r="D4" s="14" t="inlineStr">
        <is>
          <t>Round 1</t>
        </is>
      </c>
      <c r="E4" s="25" t="n">
        <v>5</v>
      </c>
      <c r="F4" s="25" t="n">
        <v>5</v>
      </c>
      <c r="G4" s="25" t="n">
        <v>5</v>
      </c>
      <c r="H4" s="25" t="n">
        <v>5</v>
      </c>
      <c r="I4" s="26">
        <f>MEDIAN(E4:H4)</f>
        <v/>
      </c>
      <c r="J4" s="268">
        <f>IF(I6=0,IF(I5=0,I4,I5),I6)</f>
        <v/>
      </c>
    </row>
    <row r="5" ht="15" customHeight="1" s="36" thickBot="1">
      <c r="B5" s="15" t="n"/>
      <c r="C5" s="269" t="n"/>
      <c r="D5" s="15" t="inlineStr">
        <is>
          <t>Round 2</t>
        </is>
      </c>
      <c r="E5" s="17" t="n">
        <v>0</v>
      </c>
      <c r="F5" s="17" t="n">
        <v>0</v>
      </c>
      <c r="G5" s="17" t="n">
        <v>0</v>
      </c>
      <c r="H5" s="17" t="n">
        <v>0</v>
      </c>
      <c r="I5" s="26">
        <f>MEDIAN(E5:H5)</f>
        <v/>
      </c>
      <c r="J5" s="269" t="n"/>
    </row>
    <row r="6" ht="15" customHeight="1" s="36" thickBot="1">
      <c r="B6" s="16" t="n"/>
      <c r="C6" s="270" t="n"/>
      <c r="D6" s="16" t="inlineStr">
        <is>
          <t>Round 3</t>
        </is>
      </c>
      <c r="E6" s="18" t="n">
        <v>0</v>
      </c>
      <c r="F6" s="18" t="n">
        <v>0</v>
      </c>
      <c r="G6" s="18" t="n">
        <v>0</v>
      </c>
      <c r="H6" s="18" t="n">
        <v>0</v>
      </c>
      <c r="I6" s="26">
        <f>MEDIAN(E6:H6)</f>
        <v/>
      </c>
      <c r="J6" s="270" t="n"/>
    </row>
    <row r="7" ht="15" customHeight="1" s="36" thickBot="1">
      <c r="B7" s="267" t="n"/>
      <c r="C7" s="214" t="n"/>
      <c r="D7" s="14" t="inlineStr">
        <is>
          <t>Round 1</t>
        </is>
      </c>
      <c r="E7" s="25" t="n">
        <v>0</v>
      </c>
      <c r="F7" s="25" t="n">
        <v>0</v>
      </c>
      <c r="G7" s="25" t="n">
        <v>0</v>
      </c>
      <c r="H7" s="25" t="n">
        <v>0</v>
      </c>
      <c r="I7" s="26">
        <f>MEDIAN(E7:H7)</f>
        <v/>
      </c>
      <c r="J7" s="268">
        <f>IF(I9=0,IF(I8=0,I7,I8),I9)</f>
        <v/>
      </c>
    </row>
    <row r="8" ht="15" customHeight="1" s="36" thickBot="1">
      <c r="B8" s="15" t="n"/>
      <c r="C8" s="269" t="n"/>
      <c r="D8" s="15" t="inlineStr">
        <is>
          <t>Round 2</t>
        </is>
      </c>
      <c r="E8" s="17" t="n">
        <v>0</v>
      </c>
      <c r="F8" s="17" t="n">
        <v>0</v>
      </c>
      <c r="G8" s="17" t="n">
        <v>0</v>
      </c>
      <c r="H8" s="17" t="n">
        <v>0</v>
      </c>
      <c r="I8" s="26">
        <f>MEDIAN(E8:H8)</f>
        <v/>
      </c>
      <c r="J8" s="269" t="n"/>
    </row>
    <row r="9" ht="15" customHeight="1" s="36" thickBot="1">
      <c r="B9" s="16" t="n"/>
      <c r="C9" s="270" t="n"/>
      <c r="D9" s="16" t="inlineStr">
        <is>
          <t>Round 3</t>
        </is>
      </c>
      <c r="E9" s="18" t="n">
        <v>0</v>
      </c>
      <c r="F9" s="18" t="n">
        <v>0</v>
      </c>
      <c r="G9" s="18" t="n">
        <v>0</v>
      </c>
      <c r="H9" s="18" t="n">
        <v>0</v>
      </c>
      <c r="I9" s="26">
        <f>MEDIAN(E9:H9)</f>
        <v/>
      </c>
      <c r="J9" s="270" t="n"/>
    </row>
    <row r="10" ht="15" customHeight="1" s="36" thickBot="1">
      <c r="B10" s="267" t="n"/>
      <c r="C10" s="214" t="n"/>
      <c r="D10" s="14" t="inlineStr">
        <is>
          <t>Round 1</t>
        </is>
      </c>
      <c r="E10" s="25" t="n">
        <v>0</v>
      </c>
      <c r="F10" s="25" t="n">
        <v>0</v>
      </c>
      <c r="G10" s="25" t="n">
        <v>0</v>
      </c>
      <c r="H10" s="25" t="n">
        <v>0</v>
      </c>
      <c r="I10" s="26">
        <f>MEDIAN(E10:H10)</f>
        <v/>
      </c>
      <c r="J10" s="268">
        <f>IF(I12=0,IF(I11=0,I10,I11),I12)</f>
        <v/>
      </c>
    </row>
    <row r="11" ht="15" customHeight="1" s="36" thickBot="1">
      <c r="B11" s="15" t="n"/>
      <c r="C11" s="269" t="n"/>
      <c r="D11" s="15" t="inlineStr">
        <is>
          <t>Round 2</t>
        </is>
      </c>
      <c r="E11" s="17" t="n">
        <v>0</v>
      </c>
      <c r="F11" s="17" t="n">
        <v>0</v>
      </c>
      <c r="G11" s="17" t="n">
        <v>0</v>
      </c>
      <c r="H11" s="17" t="n">
        <v>0</v>
      </c>
      <c r="I11" s="26">
        <f>MEDIAN(E11:H11)</f>
        <v/>
      </c>
      <c r="J11" s="269" t="n"/>
    </row>
    <row r="12" ht="15" customHeight="1" s="36" thickBot="1">
      <c r="B12" s="16" t="n"/>
      <c r="C12" s="270" t="n"/>
      <c r="D12" s="16" t="inlineStr">
        <is>
          <t>Round 3</t>
        </is>
      </c>
      <c r="E12" s="18" t="n">
        <v>0</v>
      </c>
      <c r="F12" s="18" t="n">
        <v>0</v>
      </c>
      <c r="G12" s="18" t="n">
        <v>0</v>
      </c>
      <c r="H12" s="18" t="n">
        <v>0</v>
      </c>
      <c r="I12" s="26">
        <f>MEDIAN(E12:H12)</f>
        <v/>
      </c>
      <c r="J12" s="270" t="n"/>
    </row>
    <row r="13" ht="15" customHeight="1" s="36" thickBot="1">
      <c r="B13" s="267" t="n"/>
      <c r="C13" s="214" t="n"/>
      <c r="D13" s="14" t="inlineStr">
        <is>
          <t>Round 1</t>
        </is>
      </c>
      <c r="E13" s="25" t="n">
        <v>0</v>
      </c>
      <c r="F13" s="25" t="n">
        <v>0</v>
      </c>
      <c r="G13" s="25" t="n">
        <v>0</v>
      </c>
      <c r="H13" s="25" t="n">
        <v>0</v>
      </c>
      <c r="I13" s="26">
        <f>MEDIAN(E13:H13)</f>
        <v/>
      </c>
      <c r="J13" s="268">
        <f>IF(I15=0,IF(I14=0,I13,I14),I15)</f>
        <v/>
      </c>
    </row>
    <row r="14" ht="15" customHeight="1" s="36" thickBot="1">
      <c r="B14" s="15" t="n"/>
      <c r="C14" s="269" t="n"/>
      <c r="D14" s="15" t="inlineStr">
        <is>
          <t>Round 2</t>
        </is>
      </c>
      <c r="E14" s="17" t="n">
        <v>0</v>
      </c>
      <c r="F14" s="17" t="n">
        <v>0</v>
      </c>
      <c r="G14" s="17" t="n">
        <v>0</v>
      </c>
      <c r="H14" s="17" t="n">
        <v>0</v>
      </c>
      <c r="I14" s="26">
        <f>MEDIAN(E14:H14)</f>
        <v/>
      </c>
      <c r="J14" s="269" t="n"/>
    </row>
    <row r="15" ht="15" customHeight="1" s="36" thickBot="1">
      <c r="B15" s="16" t="n"/>
      <c r="C15" s="270" t="n"/>
      <c r="D15" s="16" t="inlineStr">
        <is>
          <t>Round 3</t>
        </is>
      </c>
      <c r="E15" s="18" t="n">
        <v>0</v>
      </c>
      <c r="F15" s="18" t="n">
        <v>0</v>
      </c>
      <c r="G15" s="18" t="n">
        <v>0</v>
      </c>
      <c r="H15" s="18" t="n">
        <v>0</v>
      </c>
      <c r="I15" s="26">
        <f>MEDIAN(E15:H15)</f>
        <v/>
      </c>
      <c r="J15" s="270" t="n"/>
    </row>
    <row r="16" ht="15" customHeight="1" s="36" thickBot="1">
      <c r="B16" s="267" t="n"/>
      <c r="C16" s="214" t="n"/>
      <c r="D16" s="14" t="inlineStr">
        <is>
          <t>Round 1</t>
        </is>
      </c>
      <c r="E16" s="25" t="n">
        <v>0</v>
      </c>
      <c r="F16" s="25" t="n">
        <v>0</v>
      </c>
      <c r="G16" s="25" t="n">
        <v>0</v>
      </c>
      <c r="H16" s="25" t="n">
        <v>0</v>
      </c>
      <c r="I16" s="26">
        <f>MEDIAN(E16:H16)</f>
        <v/>
      </c>
      <c r="J16" s="268">
        <f>IF(I18=0,IF(I17=0,I16,I17),I18)</f>
        <v/>
      </c>
    </row>
    <row r="17" ht="15" customHeight="1" s="36" thickBot="1">
      <c r="B17" s="15" t="n"/>
      <c r="C17" s="269" t="n"/>
      <c r="D17" s="15" t="inlineStr">
        <is>
          <t>Round 2</t>
        </is>
      </c>
      <c r="E17" s="17" t="n">
        <v>0</v>
      </c>
      <c r="F17" s="17" t="n">
        <v>0</v>
      </c>
      <c r="G17" s="17" t="n">
        <v>0</v>
      </c>
      <c r="H17" s="17" t="n">
        <v>0</v>
      </c>
      <c r="I17" s="26">
        <f>MEDIAN(E17:H17)</f>
        <v/>
      </c>
      <c r="J17" s="269" t="n"/>
    </row>
    <row r="18" ht="15" customHeight="1" s="36" thickBot="1">
      <c r="B18" s="16" t="n"/>
      <c r="C18" s="270" t="n"/>
      <c r="D18" s="16" t="inlineStr">
        <is>
          <t>Round 3</t>
        </is>
      </c>
      <c r="E18" s="18" t="n">
        <v>0</v>
      </c>
      <c r="F18" s="18" t="n">
        <v>0</v>
      </c>
      <c r="G18" s="18" t="n">
        <v>0</v>
      </c>
      <c r="H18" s="18" t="n">
        <v>0</v>
      </c>
      <c r="I18" s="26">
        <f>MEDIAN(E18:H18)</f>
        <v/>
      </c>
      <c r="J18" s="270" t="n"/>
    </row>
    <row r="19" ht="15" customHeight="1" s="36" thickBot="1">
      <c r="B19" s="267" t="n"/>
      <c r="C19" s="214" t="n"/>
      <c r="D19" s="14" t="inlineStr">
        <is>
          <t>Round 1</t>
        </is>
      </c>
      <c r="E19" s="25" t="n">
        <v>0</v>
      </c>
      <c r="F19" s="25" t="n">
        <v>0</v>
      </c>
      <c r="G19" s="25" t="n">
        <v>0</v>
      </c>
      <c r="H19" s="25" t="n">
        <v>0</v>
      </c>
      <c r="I19" s="26">
        <f>MEDIAN(E19:H19)</f>
        <v/>
      </c>
      <c r="J19" s="268">
        <f>IF(I21=0,IF(I20=0,I19,I20),I21)</f>
        <v/>
      </c>
    </row>
    <row r="20" ht="15" customHeight="1" s="36" thickBot="1">
      <c r="B20" s="15" t="n"/>
      <c r="C20" s="269" t="n"/>
      <c r="D20" s="15" t="inlineStr">
        <is>
          <t>Round 2</t>
        </is>
      </c>
      <c r="E20" s="17" t="n">
        <v>0</v>
      </c>
      <c r="F20" s="17" t="n">
        <v>0</v>
      </c>
      <c r="G20" s="17" t="n">
        <v>0</v>
      </c>
      <c r="H20" s="17" t="n">
        <v>0</v>
      </c>
      <c r="I20" s="26">
        <f>MEDIAN(E20:H20)</f>
        <v/>
      </c>
      <c r="J20" s="269" t="n"/>
    </row>
    <row r="21" ht="15" customHeight="1" s="36" thickBot="1">
      <c r="B21" s="16" t="n"/>
      <c r="C21" s="270" t="n"/>
      <c r="D21" s="16" t="inlineStr">
        <is>
          <t>Round 3</t>
        </is>
      </c>
      <c r="E21" s="18" t="n">
        <v>0</v>
      </c>
      <c r="F21" s="18" t="n">
        <v>0</v>
      </c>
      <c r="G21" s="18" t="n">
        <v>0</v>
      </c>
      <c r="H21" s="18" t="n">
        <v>0</v>
      </c>
      <c r="I21" s="26">
        <f>MEDIAN(E21:H21)</f>
        <v/>
      </c>
      <c r="J21" s="270" t="n"/>
    </row>
    <row r="22" ht="15" customHeight="1" s="36" thickBot="1">
      <c r="B22" s="267" t="n"/>
      <c r="C22" s="214" t="n"/>
      <c r="D22" s="14" t="inlineStr">
        <is>
          <t>Round 1</t>
        </is>
      </c>
      <c r="E22" s="25" t="n">
        <v>0</v>
      </c>
      <c r="F22" s="25" t="n">
        <v>0</v>
      </c>
      <c r="G22" s="25" t="n">
        <v>0</v>
      </c>
      <c r="H22" s="25" t="n">
        <v>0</v>
      </c>
      <c r="I22" s="26">
        <f>MEDIAN(E22:H22)</f>
        <v/>
      </c>
      <c r="J22" s="268">
        <f>IF(I24=0,IF(I23=0,I22,I23),I24)</f>
        <v/>
      </c>
    </row>
    <row r="23" ht="15" customHeight="1" s="36" thickBot="1">
      <c r="B23" s="15" t="n"/>
      <c r="C23" s="269" t="n"/>
      <c r="D23" s="15" t="inlineStr">
        <is>
          <t>Round 2</t>
        </is>
      </c>
      <c r="E23" s="17" t="n">
        <v>0</v>
      </c>
      <c r="F23" s="17" t="n">
        <v>0</v>
      </c>
      <c r="G23" s="17" t="n">
        <v>0</v>
      </c>
      <c r="H23" s="17" t="n">
        <v>0</v>
      </c>
      <c r="I23" s="26">
        <f>MEDIAN(E23:H23)</f>
        <v/>
      </c>
      <c r="J23" s="269" t="n"/>
    </row>
    <row r="24" ht="15" customHeight="1" s="36" thickBot="1">
      <c r="B24" s="16" t="n"/>
      <c r="C24" s="270" t="n"/>
      <c r="D24" s="16" t="inlineStr">
        <is>
          <t>Round 3</t>
        </is>
      </c>
      <c r="E24" s="18" t="n">
        <v>0</v>
      </c>
      <c r="F24" s="18" t="n">
        <v>0</v>
      </c>
      <c r="G24" s="18" t="n">
        <v>0</v>
      </c>
      <c r="H24" s="18" t="n">
        <v>0</v>
      </c>
      <c r="I24" s="26">
        <f>MEDIAN(E24:H24)</f>
        <v/>
      </c>
      <c r="J24" s="270" t="n"/>
    </row>
    <row r="25" ht="16" customHeight="1" s="36" thickBot="1">
      <c r="B25" s="19" t="inlineStr">
        <is>
          <t>Total</t>
        </is>
      </c>
      <c r="C25" s="210" t="n"/>
      <c r="D25" s="210" t="n"/>
      <c r="E25" s="210" t="n"/>
      <c r="F25" s="210" t="n"/>
      <c r="G25" s="210" t="n"/>
      <c r="H25" s="210" t="n"/>
      <c r="I25" s="211" t="n"/>
      <c r="J25" s="19">
        <f>SUM(J4:J24)</f>
        <v/>
      </c>
    </row>
    <row r="27">
      <c r="B27" s="43" t="inlineStr">
        <is>
          <t>A estatística poderá ser baseada em histórico. Já entregamos as 10 tarefas... 70% para Dev, 20% teste e 10% para outras formas.</t>
        </is>
      </c>
    </row>
  </sheetData>
  <mergeCells count="18">
    <mergeCell ref="J22:J24"/>
    <mergeCell ref="J4:J6"/>
    <mergeCell ref="B4:C6"/>
    <mergeCell ref="J13:J15"/>
    <mergeCell ref="D3:J3"/>
    <mergeCell ref="B25:I25"/>
    <mergeCell ref="B16:C18"/>
    <mergeCell ref="J7:J9"/>
    <mergeCell ref="B7:C9"/>
    <mergeCell ref="B3:C3"/>
    <mergeCell ref="J16:J18"/>
    <mergeCell ref="B19:C21"/>
    <mergeCell ref="B22:C24"/>
    <mergeCell ref="J10:J12"/>
    <mergeCell ref="J19:J21"/>
    <mergeCell ref="B10:C12"/>
    <mergeCell ref="B2:J2"/>
    <mergeCell ref="B13:C15"/>
  </mergeCells>
  <pageMargins left="0.511811024" right="0.511811024" top="0.787401575" bottom="0.787401575" header="0.31496062" footer="0.31496062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9"/>
  <sheetViews>
    <sheetView tabSelected="1" zoomScale="110" zoomScaleNormal="110" workbookViewId="0">
      <selection activeCell="B13" sqref="B13"/>
    </sheetView>
  </sheetViews>
  <sheetFormatPr baseColWidth="8" defaultRowHeight="14.5"/>
  <cols>
    <col width="39.90625" customWidth="1" style="36" min="1" max="1"/>
    <col width="29.54296875" customWidth="1" style="36" min="2" max="2"/>
    <col width="15" customWidth="1" style="36" min="10" max="10"/>
  </cols>
  <sheetData>
    <row r="1" ht="19" customHeight="1" s="36" thickBot="1">
      <c r="A1" s="209" t="inlineStr">
        <is>
          <t>ANÁLISE E TOMADA DE DECISÕES — TIMEWARE</t>
        </is>
      </c>
      <c r="B1" s="210" t="n"/>
      <c r="C1" s="210" t="n"/>
      <c r="D1" s="210" t="n"/>
      <c r="E1" s="210" t="n"/>
      <c r="F1" s="210" t="n"/>
      <c r="G1" s="210" t="n"/>
      <c r="H1" s="210" t="n"/>
      <c r="I1" s="210" t="n"/>
      <c r="J1" s="211" t="n"/>
    </row>
    <row r="2" ht="9" customHeight="1" s="36" thickBot="1">
      <c r="A2" s="212" t="n"/>
      <c r="B2" s="213" t="n"/>
      <c r="C2" s="213" t="n"/>
      <c r="D2" s="213" t="n"/>
      <c r="E2" s="213" t="n"/>
      <c r="F2" s="213" t="n"/>
      <c r="G2" s="213" t="n"/>
      <c r="H2" s="213" t="n"/>
      <c r="I2" s="213" t="n"/>
      <c r="J2" s="214" t="n"/>
    </row>
    <row r="3" ht="14.4" customHeight="1" s="36">
      <c r="A3" s="215" t="inlineStr">
        <is>
          <t>Objetivo</t>
        </is>
      </c>
      <c r="B3" s="117" t="inlineStr">
        <is>
          <t>Selecionar o banco de dados para persistência do Cadastro de Clientes (~7 mi de CPFs), com suporte a JSONB (outbox/auditoria), hospedagem no Azure e alta frequência de leitura — Projeto PROFARMA / Cadastro de Clientes Rede D1000.</t>
        </is>
      </c>
      <c r="C3" s="216" t="n"/>
      <c r="D3" s="216" t="n"/>
      <c r="E3" s="216" t="n"/>
      <c r="F3" s="216" t="n"/>
      <c r="G3" s="216" t="n"/>
      <c r="H3" s="216" t="n"/>
      <c r="I3" s="216" t="n"/>
      <c r="J3" s="217" t="n"/>
    </row>
    <row r="4" ht="14.4" customHeight="1" s="36">
      <c r="A4" s="218" t="inlineStr">
        <is>
          <t>Data:</t>
        </is>
      </c>
      <c r="B4" s="219" t="inlineStr">
        <is>
          <t>09/05/2025</t>
        </is>
      </c>
      <c r="C4" s="220" t="n"/>
      <c r="D4" s="220" t="n"/>
      <c r="E4" s="220" t="n"/>
      <c r="F4" s="220" t="n"/>
      <c r="G4" s="220" t="n"/>
      <c r="H4" s="220" t="n"/>
      <c r="I4" s="220" t="n"/>
      <c r="J4" s="221" t="n"/>
    </row>
    <row r="5">
      <c r="A5" s="222" t="inlineStr">
        <is>
          <t>Decisão Final</t>
        </is>
      </c>
      <c r="B5" s="122" t="inlineStr">
        <is>
          <t>Alternativa A — PostgreSQL (Azure Database for PostgreSQL Flexible Server).</t>
        </is>
      </c>
      <c r="C5" s="220" t="n"/>
      <c r="D5" s="220" t="n"/>
      <c r="E5" s="220" t="n"/>
      <c r="F5" s="220" t="n"/>
      <c r="G5" s="220" t="n"/>
      <c r="H5" s="220" t="n"/>
      <c r="I5" s="220" t="n"/>
      <c r="J5" s="223" t="n"/>
    </row>
    <row r="6">
      <c r="A6" s="222" t="inlineStr">
        <is>
          <t>Razões /Justificativa</t>
        </is>
      </c>
      <c r="B6" s="122" t="inlineStr">
        <is>
          <t>Única alternativa que atende simultaneamente a três requisitos críticos: JSONB nativo (outbox/auditoria), integração madura com .NET (EF Core + Dapper) e custo sem licenciamento adicional — maior pontuação ponderada na matriz.</t>
        </is>
      </c>
      <c r="C6" s="220" t="n"/>
      <c r="D6" s="220" t="n"/>
      <c r="E6" s="220" t="n"/>
      <c r="F6" s="220" t="n"/>
      <c r="G6" s="220" t="n"/>
      <c r="H6" s="220" t="n"/>
      <c r="I6" s="220" t="n"/>
      <c r="J6" s="223" t="n"/>
    </row>
    <row r="7" ht="14.4" customHeight="1" s="36">
      <c r="A7" s="222" t="inlineStr">
        <is>
          <t>Método</t>
        </is>
      </c>
      <c r="B7" s="123" t="inlineStr">
        <is>
          <t>Critérios com peso (matriz de decisão ponderada).</t>
        </is>
      </c>
      <c r="C7" s="220" t="n"/>
      <c r="D7" s="220" t="n"/>
      <c r="E7" s="220" t="n"/>
      <c r="F7" s="220" t="n"/>
      <c r="G7" s="220" t="n"/>
      <c r="H7" s="220" t="n"/>
      <c r="I7" s="220" t="n"/>
      <c r="J7" s="221" t="n"/>
    </row>
    <row r="8" ht="15" customHeight="1" s="36" thickBot="1">
      <c r="A8" s="224" t="inlineStr">
        <is>
          <t>Participantes</t>
        </is>
      </c>
      <c r="B8" s="127" t="inlineStr">
        <is>
          <t>Armando Junior (Tech Lead / Gestor de TI — Rede D1000, aprovação); equipe técnica Timeware (Tech Lead; GP Abraão Oliveira).</t>
        </is>
      </c>
      <c r="C8" s="225" t="n"/>
      <c r="D8" s="225" t="n"/>
      <c r="E8" s="225" t="n"/>
      <c r="F8" s="225" t="n"/>
      <c r="G8" s="225" t="n"/>
      <c r="H8" s="225" t="n"/>
      <c r="I8" s="225" t="n"/>
      <c r="J8" s="226" t="n"/>
    </row>
    <row r="9" ht="7.25" customHeight="1" s="36" thickBot="1">
      <c r="A9" s="58" t="n"/>
      <c r="B9" s="62" t="n"/>
      <c r="C9" s="62" t="n"/>
      <c r="D9" s="62" t="n"/>
      <c r="E9" s="62" t="n"/>
      <c r="F9" s="62" t="n"/>
      <c r="G9" s="62" t="n"/>
      <c r="H9" s="62" t="n"/>
      <c r="I9" s="62" t="n"/>
      <c r="J9" s="63" t="n"/>
    </row>
    <row r="10" ht="15" customHeight="1" s="36" thickBot="1">
      <c r="A10" s="227" t="inlineStr">
        <is>
          <t>Critérios de Avaliação</t>
        </is>
      </c>
      <c r="B10" s="228" t="n"/>
      <c r="C10" s="228" t="n"/>
      <c r="D10" s="228" t="n"/>
      <c r="E10" s="228" t="n"/>
      <c r="F10" s="228" t="n"/>
      <c r="G10" s="228" t="n"/>
      <c r="H10" s="228" t="n"/>
      <c r="I10" s="228" t="n"/>
      <c r="J10" s="229" t="n"/>
    </row>
    <row r="11" ht="14.4" customHeight="1" s="36">
      <c r="A11" s="230" t="inlineStr">
        <is>
          <t>Critério</t>
        </is>
      </c>
      <c r="B11" s="231" t="inlineStr">
        <is>
          <t>Descrição</t>
        </is>
      </c>
      <c r="C11" s="232" t="inlineStr">
        <is>
          <t>Peso</t>
        </is>
      </c>
      <c r="D11" s="231" t="inlineStr">
        <is>
          <t>Razões</t>
        </is>
      </c>
      <c r="E11" s="233" t="n"/>
      <c r="F11" s="233" t="n"/>
      <c r="G11" s="234" t="n"/>
      <c r="H11" s="235" t="inlineStr">
        <is>
          <t>Instruções</t>
        </is>
      </c>
      <c r="I11" s="233" t="n"/>
      <c r="J11" s="236" t="n"/>
    </row>
    <row r="12" ht="25.25" customHeight="1" s="36">
      <c r="A12" s="64" t="inlineStr">
        <is>
          <t>Suporte nativo a JSONB</t>
        </is>
      </c>
      <c r="B12" s="108" t="inlineStr">
        <is>
          <t>JSONB indexável para o mecanismo de outbox de integração e para as tabelas de auditoria.</t>
        </is>
      </c>
      <c r="C12" s="109" t="n">
        <v>5</v>
      </c>
      <c r="D12" s="108" t="inlineStr">
        <is>
          <t>Requisito crítico — outbox e auditoria dependem de JSONB eficiente.</t>
        </is>
      </c>
      <c r="E12" s="220" t="n"/>
      <c r="F12" s="220" t="n"/>
      <c r="G12" s="223" t="n"/>
      <c r="H12" s="110" t="inlineStr">
        <is>
          <t>Peso 5 = alto peso na decisão.</t>
        </is>
      </c>
      <c r="I12" s="220" t="n"/>
      <c r="J12" s="221" t="n"/>
    </row>
    <row r="13" ht="123" customHeight="1" s="36">
      <c r="A13" s="64" t="inlineStr">
        <is>
          <t>Compatibilidade com Azure</t>
        </is>
      </c>
      <c r="B13" s="108" t="inlineStr">
        <is>
          <t>Disponibilidade como serviço gerenciado no Azure.</t>
        </is>
      </c>
      <c r="C13" s="109" t="n">
        <v>5</v>
      </c>
      <c r="D13" s="137" t="inlineStr">
        <is>
          <t>A plataforma de produção é o Azure.</t>
        </is>
      </c>
      <c r="E13" s="220" t="n"/>
      <c r="F13" s="220" t="n"/>
      <c r="G13" s="223" t="n"/>
      <c r="H13" s="237" t="inlineStr">
        <is>
          <t>Peso 5 = alto peso na decisão.</t>
        </is>
      </c>
      <c r="I13" s="220" t="n"/>
      <c r="J13" s="221" t="n"/>
    </row>
    <row r="14" ht="60.65" customHeight="1" s="36">
      <c r="A14" s="64" t="inlineStr">
        <is>
          <t>Performance de leitura por CPF</t>
        </is>
      </c>
      <c r="B14" s="108" t="inlineStr">
        <is>
          <t>Leitura por chave primária (CPF) em alta volumetria e múltiplos canais.</t>
        </is>
      </c>
      <c r="C14" s="109" t="n">
        <v>5</v>
      </c>
      <c r="D14" s="108" t="inlineStr">
        <is>
          <t>Operação mais frequente do sistema; impacta SLA.</t>
        </is>
      </c>
      <c r="E14" s="220" t="n"/>
      <c r="F14" s="220" t="n"/>
      <c r="G14" s="223" t="n"/>
      <c r="H14" s="110" t="inlineStr">
        <is>
          <t>Peso 5 = alto peso na decisão.</t>
        </is>
      </c>
      <c r="I14" s="220" t="n"/>
      <c r="J14" s="221" t="n"/>
    </row>
    <row r="15" ht="49.25" customHeight="1" s="36">
      <c r="A15" s="64" t="inlineStr">
        <is>
          <t>Integração com o stack .NET</t>
        </is>
      </c>
      <c r="B15" s="108" t="inlineStr">
        <is>
          <t>EF Core (escrita) + Dapper (leitura).</t>
        </is>
      </c>
      <c r="C15" s="109" t="n">
        <v>3</v>
      </c>
      <c r="D15" s="108" t="inlineStr">
        <is>
          <t>Produtividade e manutenção da equipe.</t>
        </is>
      </c>
      <c r="E15" s="220" t="n"/>
      <c r="F15" s="220" t="n"/>
      <c r="G15" s="223" t="n"/>
      <c r="H15" s="110" t="inlineStr">
        <is>
          <t>Peso 3 = peso médio na decisão.</t>
        </is>
      </c>
      <c r="I15" s="220" t="n"/>
      <c r="J15" s="221" t="n"/>
    </row>
    <row r="16" ht="43.25" customHeight="1" s="36">
      <c r="A16" s="64" t="inlineStr">
        <is>
          <t>Custo operacional no Azure</t>
        </is>
      </c>
      <c r="B16" s="108" t="inlineStr">
        <is>
          <t>Custo do serviço gerenciado, incluindo licenciamento.</t>
        </is>
      </c>
      <c r="C16" s="109" t="n">
        <v>3</v>
      </c>
      <c r="D16" s="108" t="inlineStr">
        <is>
          <t>Sustentabilidade financeira da operação.</t>
        </is>
      </c>
      <c r="E16" s="220" t="n"/>
      <c r="F16" s="220" t="n"/>
      <c r="G16" s="223" t="n"/>
      <c r="H16" s="110" t="inlineStr">
        <is>
          <t>Peso 3 = peso médio na decisão.</t>
        </is>
      </c>
      <c r="I16" s="220" t="n"/>
      <c r="J16" s="221" t="n"/>
    </row>
    <row r="17" ht="15.65" customHeight="1" s="36">
      <c r="A17" s="64" t="inlineStr">
        <is>
          <t>Curva de aprendizado da equipe</t>
        </is>
      </c>
      <c r="B17" s="108" t="inlineStr">
        <is>
          <t>Familiaridade da equipe com a tecnologia.</t>
        </is>
      </c>
      <c r="C17" s="109" t="n">
        <v>1</v>
      </c>
      <c r="D17" s="108" t="inlineStr">
        <is>
          <t>Risco de ramp-up.</t>
        </is>
      </c>
      <c r="E17" s="220" t="n"/>
      <c r="F17" s="220" t="n"/>
      <c r="G17" s="223" t="n"/>
      <c r="H17" s="110" t="inlineStr">
        <is>
          <t>Peso 1 = baixo peso na decisão.</t>
        </is>
      </c>
      <c r="I17" s="220" t="n"/>
      <c r="J17" s="221" t="n"/>
    </row>
    <row r="18">
      <c r="A18" s="65" t="n"/>
      <c r="B18" s="148" t="n"/>
      <c r="C18" s="109" t="n"/>
      <c r="D18" s="148" t="n"/>
      <c r="E18" s="220" t="n"/>
      <c r="F18" s="220" t="n"/>
      <c r="G18" s="223" t="n"/>
      <c r="H18" s="148" t="n"/>
      <c r="I18" s="220" t="n"/>
      <c r="J18" s="223" t="n"/>
    </row>
    <row r="19" ht="6.65" customHeight="1" s="36" thickBot="1">
      <c r="A19" s="66" t="n"/>
      <c r="B19" s="67" t="n"/>
      <c r="C19" s="67" t="n"/>
      <c r="D19" s="67" t="n"/>
      <c r="E19" s="68" t="n"/>
      <c r="F19" s="68" t="n"/>
      <c r="G19" s="68" t="n"/>
      <c r="H19" s="68" t="n"/>
      <c r="I19" s="68" t="n"/>
      <c r="J19" s="63" t="n"/>
    </row>
    <row r="20" ht="15" customHeight="1" s="36" thickBot="1">
      <c r="A20" s="227" t="inlineStr">
        <is>
          <t>Planilha de Apoio à Decisão</t>
        </is>
      </c>
      <c r="B20" s="228" t="n"/>
      <c r="C20" s="228" t="n"/>
      <c r="D20" s="228" t="n"/>
      <c r="E20" s="228" t="n"/>
      <c r="F20" s="228" t="n"/>
      <c r="G20" s="228" t="n"/>
      <c r="H20" s="228" t="n"/>
      <c r="I20" s="228" t="n"/>
      <c r="J20" s="229" t="n"/>
    </row>
    <row r="21" ht="25.75" customHeight="1" s="36">
      <c r="A21" s="238" t="inlineStr">
        <is>
          <t>Resultado = Multiplica o peso  do criterio vezes a nota de cada alternativa e executa o somatorio de todas as multiplicações
  = total ponderado</t>
        </is>
      </c>
      <c r="B21" s="233" t="n"/>
      <c r="C21" s="233" t="n"/>
      <c r="D21" s="233" t="n"/>
      <c r="E21" s="233" t="n"/>
      <c r="F21" s="233" t="n"/>
      <c r="G21" s="233" t="n"/>
      <c r="H21" s="233" t="n"/>
      <c r="I21" s="233" t="n"/>
      <c r="J21" s="236" t="n"/>
    </row>
    <row r="22" ht="15" customHeight="1" s="36">
      <c r="A22" s="239" t="inlineStr">
        <is>
          <t>ID da Alternativa</t>
        </is>
      </c>
      <c r="B22" s="240" t="inlineStr">
        <is>
          <t>Alternativas
(Se necessário descrever o cenário da Alternativa.)</t>
        </is>
      </c>
      <c r="C22" s="240" t="inlineStr">
        <is>
          <t>Peso</t>
        </is>
      </c>
      <c r="D22" s="220" t="n"/>
      <c r="E22" s="220" t="n"/>
      <c r="F22" s="220" t="n"/>
      <c r="G22" s="220" t="n"/>
      <c r="H22" s="220" t="n"/>
      <c r="I22" s="223" t="n"/>
      <c r="J22" s="241" t="inlineStr">
        <is>
          <t>Resultado 
( A escolha da Alternativa será o resultado  de maior valor)</t>
        </is>
      </c>
    </row>
    <row r="23" ht="14.4" customHeight="1" s="36">
      <c r="A23" s="242" t="n"/>
      <c r="B23" s="243" t="n"/>
      <c r="C23" s="82">
        <f>C12</f>
        <v/>
      </c>
      <c r="D23" s="82">
        <f>C13</f>
        <v/>
      </c>
      <c r="E23" s="82">
        <f>C14</f>
        <v/>
      </c>
      <c r="F23" s="82">
        <f>C15</f>
        <v/>
      </c>
      <c r="G23" s="82">
        <f>C16</f>
        <v/>
      </c>
      <c r="H23" s="82">
        <f>C17</f>
        <v/>
      </c>
      <c r="I23" s="82">
        <f>C18</f>
        <v/>
      </c>
      <c r="J23" s="244" t="n"/>
    </row>
    <row r="24">
      <c r="A24" s="242" t="n"/>
      <c r="B24" s="243" t="n"/>
      <c r="C24" s="160" t="inlineStr">
        <is>
          <t>Critérios</t>
        </is>
      </c>
      <c r="D24" s="220" t="n"/>
      <c r="E24" s="220" t="n"/>
      <c r="F24" s="220" t="n"/>
      <c r="G24" s="220" t="n"/>
      <c r="H24" s="220" t="n"/>
      <c r="I24" s="223" t="n"/>
      <c r="J24" s="244" t="n"/>
    </row>
    <row r="25" ht="143.4" customHeight="1" s="36">
      <c r="A25" s="242" t="n"/>
      <c r="B25" s="243" t="n"/>
      <c r="C25" s="83">
        <f>A12</f>
        <v/>
      </c>
      <c r="D25" s="83">
        <f>A13</f>
        <v/>
      </c>
      <c r="E25" s="83">
        <f>A14</f>
        <v/>
      </c>
      <c r="F25" s="83">
        <f>A15</f>
        <v/>
      </c>
      <c r="G25" s="83">
        <f>A16</f>
        <v/>
      </c>
      <c r="H25" s="83">
        <f>A17</f>
        <v/>
      </c>
      <c r="I25" s="83">
        <f>A18</f>
        <v/>
      </c>
      <c r="J25" s="244" t="n"/>
    </row>
    <row r="26" ht="24.5" customHeight="1" s="36">
      <c r="A26" s="245" t="n"/>
      <c r="B26" s="246" t="n"/>
      <c r="C26" s="84" t="inlineStr">
        <is>
          <t>Nota
(0 a 10)</t>
        </is>
      </c>
      <c r="D26" s="84" t="inlineStr">
        <is>
          <t>Nota
(0 a 10)</t>
        </is>
      </c>
      <c r="E26" s="84" t="inlineStr">
        <is>
          <t>Nota
(0 a 10)</t>
        </is>
      </c>
      <c r="F26" s="84" t="inlineStr">
        <is>
          <t>Nota
(0 a 10)</t>
        </is>
      </c>
      <c r="G26" s="84" t="inlineStr">
        <is>
          <t>Nota
(0 a 10)</t>
        </is>
      </c>
      <c r="H26" s="84" t="inlineStr">
        <is>
          <t>Nota
(0 a 10)</t>
        </is>
      </c>
      <c r="I26" s="84" t="inlineStr">
        <is>
          <t>Nota
(0 a 10)</t>
        </is>
      </c>
      <c r="J26" s="69" t="n"/>
    </row>
    <row r="27" ht="51" customHeight="1" s="36">
      <c r="A27" s="70" t="n">
        <v>1</v>
      </c>
      <c r="B27" s="101" t="inlineStr">
        <is>
          <t>PostgreSQL (Azure DB for PostgreSQL Flexible Server)</t>
        </is>
      </c>
      <c r="C27" s="102" t="n">
        <v>10</v>
      </c>
      <c r="D27" s="102" t="n">
        <v>9</v>
      </c>
      <c r="E27" s="102" t="n">
        <v>9</v>
      </c>
      <c r="F27" s="102" t="n">
        <v>9</v>
      </c>
      <c r="G27" s="102" t="n">
        <v>9</v>
      </c>
      <c r="H27" s="102" t="n">
        <v>9</v>
      </c>
      <c r="I27" s="102" t="n"/>
      <c r="J27" s="103">
        <f>(C27*$C$12)+(D27*$C$13)+(E27*$C$14)+(F27*$C$15)+(G27*$C$16)+(H27*$C$17)</f>
        <v/>
      </c>
    </row>
    <row r="28" ht="13" customHeight="1" s="36">
      <c r="A28" s="70" t="n">
        <v>2</v>
      </c>
      <c r="B28" s="101" t="inlineStr">
        <is>
          <t>SQL Server (Azure SQL)</t>
        </is>
      </c>
      <c r="C28" s="102" t="n">
        <v>4</v>
      </c>
      <c r="D28" s="102" t="n">
        <v>10</v>
      </c>
      <c r="E28" s="102" t="n">
        <v>9</v>
      </c>
      <c r="F28" s="102" t="n">
        <v>10</v>
      </c>
      <c r="G28" s="102" t="n">
        <v>3</v>
      </c>
      <c r="H28" s="102" t="n">
        <v>9</v>
      </c>
      <c r="I28" s="102" t="n"/>
      <c r="J28" s="103">
        <f>(C28*$C$12)+(D28*$C$13)+(E28*$C$14)+(F28*$C$15)+(G28*$C$16)+(H28*$C$17)</f>
        <v/>
      </c>
    </row>
    <row r="29" hidden="1" s="36">
      <c r="A29" s="70" t="n">
        <v>3</v>
      </c>
      <c r="B29" s="59" t="inlineStr">
        <is>
          <t>MySQL (Azure DB for MySQL)</t>
        </is>
      </c>
      <c r="C29" s="60" t="n">
        <v>6</v>
      </c>
      <c r="D29" s="60" t="n">
        <v>6</v>
      </c>
      <c r="E29" s="60" t="n">
        <v>7</v>
      </c>
      <c r="F29" s="60" t="n">
        <v>7</v>
      </c>
      <c r="G29" s="60" t="n">
        <v>9</v>
      </c>
      <c r="H29" s="60" t="n">
        <v>8</v>
      </c>
      <c r="I29" s="60" t="n"/>
      <c r="J29" s="103">
        <f>(C29*$C$12)+(D29*$C$13)+(E29*$C$14)+(F29*$C$15)+(G29*$C$16)+(H29*$C$17)</f>
        <v/>
      </c>
    </row>
    <row r="30">
      <c r="A30" s="70" t="n">
        <v>4</v>
      </c>
      <c r="B30" s="59" t="inlineStr">
        <is>
          <t>MongoDB (Azure Cosmos DB for MongoDB)</t>
        </is>
      </c>
      <c r="C30" s="60" t="n">
        <v>7</v>
      </c>
      <c r="D30" s="60" t="n">
        <v>6</v>
      </c>
      <c r="E30" s="60" t="n">
        <v>6</v>
      </c>
      <c r="F30" s="60" t="n">
        <v>6</v>
      </c>
      <c r="G30" s="60" t="n">
        <v>5</v>
      </c>
      <c r="H30" s="60" t="n">
        <v>5</v>
      </c>
      <c r="I30" s="60" t="n"/>
      <c r="J30" s="103">
        <f>(C30*$C$12)+(D30*$C$13)+(E30*$C$14)+(F30*$C$15)+(G30*$C$16)+(H30*$C$17)</f>
        <v/>
      </c>
    </row>
    <row r="31">
      <c r="A31" s="70" t="n"/>
      <c r="B31" s="59" t="n"/>
      <c r="C31" s="60" t="n"/>
      <c r="D31" s="60" t="n"/>
      <c r="E31" s="60" t="n"/>
      <c r="F31" s="60" t="n"/>
      <c r="G31" s="60" t="n"/>
      <c r="H31" s="60" t="n"/>
      <c r="I31" s="60" t="n"/>
      <c r="J31" s="71" t="n">
        <v>0</v>
      </c>
    </row>
    <row r="32">
      <c r="A32" s="70" t="n"/>
      <c r="B32" s="59" t="n"/>
      <c r="C32" s="60" t="n"/>
      <c r="D32" s="60" t="n"/>
      <c r="E32" s="60" t="n"/>
      <c r="F32" s="60" t="n"/>
      <c r="G32" s="60" t="n"/>
      <c r="H32" s="60" t="n"/>
      <c r="I32" s="60" t="n"/>
      <c r="J32" s="71" t="n">
        <v>0</v>
      </c>
    </row>
    <row r="33">
      <c r="A33" s="70" t="n"/>
      <c r="B33" s="59" t="n"/>
      <c r="C33" s="60" t="n"/>
      <c r="D33" s="60" t="n"/>
      <c r="E33" s="60" t="n"/>
      <c r="F33" s="60" t="n"/>
      <c r="G33" s="60" t="n"/>
      <c r="H33" s="60" t="n"/>
      <c r="I33" s="60" t="n"/>
      <c r="J33" s="71" t="n">
        <v>0</v>
      </c>
    </row>
    <row r="34">
      <c r="A34" s="70" t="n"/>
      <c r="B34" s="59" t="n"/>
      <c r="C34" s="60" t="n"/>
      <c r="D34" s="60" t="n"/>
      <c r="E34" s="60" t="n"/>
      <c r="F34" s="60" t="n"/>
      <c r="G34" s="60" t="n"/>
      <c r="H34" s="60" t="n"/>
      <c r="I34" s="60" t="n"/>
      <c r="J34" s="71" t="n">
        <v>0</v>
      </c>
    </row>
    <row r="35">
      <c r="A35" s="70" t="n"/>
      <c r="B35" s="59" t="n"/>
      <c r="C35" s="60" t="n"/>
      <c r="D35" s="60" t="n"/>
      <c r="E35" s="60" t="n"/>
      <c r="F35" s="60" t="n"/>
      <c r="G35" s="60" t="n"/>
      <c r="H35" s="60" t="n"/>
      <c r="I35" s="60" t="n"/>
      <c r="J35" s="71" t="n">
        <v>0</v>
      </c>
    </row>
    <row r="36">
      <c r="A36" s="70" t="n"/>
      <c r="B36" s="59" t="n"/>
      <c r="C36" s="60" t="n"/>
      <c r="D36" s="60" t="n"/>
      <c r="E36" s="60" t="n"/>
      <c r="F36" s="60" t="n"/>
      <c r="G36" s="60" t="n"/>
      <c r="H36" s="60" t="n"/>
      <c r="I36" s="60" t="n"/>
      <c r="J36" s="71" t="n">
        <v>0</v>
      </c>
    </row>
    <row r="37">
      <c r="A37" s="70" t="n"/>
      <c r="B37" s="59" t="n"/>
      <c r="C37" s="60" t="n"/>
      <c r="D37" s="60" t="n"/>
      <c r="E37" s="60" t="n"/>
      <c r="F37" s="60" t="n"/>
      <c r="G37" s="60" t="n"/>
      <c r="H37" s="60" t="n"/>
      <c r="I37" s="60" t="n"/>
      <c r="J37" s="71" t="n">
        <v>0</v>
      </c>
    </row>
    <row r="38">
      <c r="A38" s="72" t="n"/>
      <c r="B38" s="73" t="n"/>
      <c r="C38" s="74" t="n"/>
      <c r="D38" s="74" t="n"/>
      <c r="E38" s="75" t="n"/>
      <c r="F38" s="75" t="n"/>
      <c r="G38" s="75" t="n"/>
      <c r="H38" s="75" t="n"/>
      <c r="I38" s="75" t="n"/>
      <c r="J38" s="76" t="n"/>
    </row>
    <row r="39" ht="15" customHeight="1" s="36" thickBot="1">
      <c r="A39" s="247" t="inlineStr">
        <is>
          <t>Anexos / proveniência: derivado de GDE-PROFARMA01-001 (Decisão GDE-001). Conversão de pesos: Alto=5, Médio=3, Baixo=1. Notas 0–10 derivadas da matriz qualitativa documentada; alternativa vencedora coincide com a decisão registrada (PostgreSQL).</t>
        </is>
      </c>
      <c r="B39" s="248" t="n"/>
      <c r="C39" s="248" t="n"/>
      <c r="D39" s="248" t="n"/>
      <c r="E39" s="248" t="n"/>
      <c r="F39" s="248" t="n"/>
      <c r="G39" s="248" t="n"/>
      <c r="H39" s="248" t="n"/>
      <c r="I39" s="248" t="n"/>
      <c r="J39" s="249" t="n"/>
    </row>
  </sheetData>
  <mergeCells count="33">
    <mergeCell ref="D18:G18"/>
    <mergeCell ref="D12:G12"/>
    <mergeCell ref="B8:J8"/>
    <mergeCell ref="A20:J20"/>
    <mergeCell ref="D15:G15"/>
    <mergeCell ref="H17:J17"/>
    <mergeCell ref="A10:J10"/>
    <mergeCell ref="H11:J11"/>
    <mergeCell ref="D14:G14"/>
    <mergeCell ref="A22:A26"/>
    <mergeCell ref="H16:J16"/>
    <mergeCell ref="H13:J13"/>
    <mergeCell ref="A39:J39"/>
    <mergeCell ref="H12:J12"/>
    <mergeCell ref="C24:I24"/>
    <mergeCell ref="B6:J6"/>
    <mergeCell ref="H15:J15"/>
    <mergeCell ref="A1:J1"/>
    <mergeCell ref="B5:J5"/>
    <mergeCell ref="H18:J18"/>
    <mergeCell ref="J22:J25"/>
    <mergeCell ref="H14:J14"/>
    <mergeCell ref="B22:B26"/>
    <mergeCell ref="D11:G11"/>
    <mergeCell ref="D13:G13"/>
    <mergeCell ref="B4:J4"/>
    <mergeCell ref="B7:J7"/>
    <mergeCell ref="B3:J3"/>
    <mergeCell ref="C22:I22"/>
    <mergeCell ref="D17:G17"/>
    <mergeCell ref="D16:G16"/>
    <mergeCell ref="A21:J21"/>
    <mergeCell ref="A2:J2"/>
  </mergeCells>
  <pageMargins left="0.511811024" right="0.511811024" top="0.787401575" bottom="0.787401575" header="0.31496062" footer="0.31496062"/>
  <pageSetup orientation="portrait" paperSize="9" horizontalDpi="0" verticalDpi="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G5" sqref="G5"/>
    </sheetView>
  </sheetViews>
  <sheetFormatPr baseColWidth="8" defaultRowHeight="14.5"/>
  <cols>
    <col width="10.6328125" bestFit="1" customWidth="1" style="36" min="1" max="1"/>
    <col width="35.08984375" bestFit="1" customWidth="1" style="36" min="2" max="2"/>
  </cols>
  <sheetData>
    <row r="1" ht="15" customHeight="1" s="36" thickBot="1">
      <c r="A1" s="202" t="inlineStr">
        <is>
          <t>Feriados</t>
        </is>
      </c>
      <c r="B1" s="271" t="n"/>
    </row>
    <row r="2" ht="15" customHeight="1" s="36" thickBot="1">
      <c r="A2" s="2" t="n">
        <v>41275</v>
      </c>
      <c r="B2" s="3" t="inlineStr">
        <is>
          <t>Confraternização Universal</t>
        </is>
      </c>
    </row>
    <row r="3" ht="15" customHeight="1" s="36" thickBot="1">
      <c r="A3" s="4" t="n">
        <v>41316</v>
      </c>
      <c r="B3" s="5" t="inlineStr">
        <is>
          <t>Carnaval</t>
        </is>
      </c>
    </row>
    <row r="4" ht="15" customHeight="1" s="36" thickBot="1">
      <c r="A4" s="4" t="n">
        <v>41317</v>
      </c>
      <c r="B4" s="5" t="inlineStr">
        <is>
          <t>Carnaval</t>
        </is>
      </c>
    </row>
    <row r="5" ht="15" customHeight="1" s="36" thickBot="1">
      <c r="A5" s="4" t="n">
        <v>41362</v>
      </c>
      <c r="B5" s="5" t="inlineStr">
        <is>
          <t>Paixão de Cristo</t>
        </is>
      </c>
    </row>
    <row r="6" ht="15" customHeight="1" s="36" thickBot="1">
      <c r="A6" s="4" t="n">
        <v>41385</v>
      </c>
      <c r="B6" s="5" t="inlineStr">
        <is>
          <t>Tiradentes</t>
        </is>
      </c>
    </row>
    <row r="7" ht="15" customHeight="1" s="36" thickBot="1">
      <c r="A7" s="4" t="n">
        <v>41395</v>
      </c>
      <c r="B7" s="5" t="inlineStr">
        <is>
          <t>Dia do Trabalho</t>
        </is>
      </c>
    </row>
    <row r="8" ht="15" customHeight="1" s="36" thickBot="1">
      <c r="A8" s="4" t="n">
        <v>41424</v>
      </c>
      <c r="B8" s="5" t="inlineStr">
        <is>
          <t>Corpus Christi</t>
        </is>
      </c>
    </row>
    <row r="9" ht="15" customHeight="1" s="36" thickBot="1">
      <c r="A9" s="4" t="n">
        <v>41524</v>
      </c>
      <c r="B9" s="5" t="inlineStr">
        <is>
          <t>Independência do Brasil</t>
        </is>
      </c>
    </row>
    <row r="10" ht="15" customHeight="1" s="36" thickBot="1">
      <c r="A10" s="4" t="n">
        <v>41559</v>
      </c>
      <c r="B10" s="5" t="inlineStr">
        <is>
          <t>Nossa Sr.a Aparecida - Padroeira do Brasil</t>
        </is>
      </c>
    </row>
    <row r="11" ht="15" customHeight="1" s="36" thickBot="1">
      <c r="A11" s="4" t="n">
        <v>41580</v>
      </c>
      <c r="B11" s="5" t="inlineStr">
        <is>
          <t>Finados</t>
        </is>
      </c>
    </row>
    <row r="12" ht="15" customHeight="1" s="36" thickBot="1">
      <c r="A12" s="4" t="n">
        <v>41593</v>
      </c>
      <c r="B12" s="5" t="inlineStr">
        <is>
          <t>Proclamação da República</t>
        </is>
      </c>
    </row>
    <row r="13" ht="15" customHeight="1" s="36" thickBot="1">
      <c r="A13" s="4" t="n">
        <v>41633</v>
      </c>
      <c r="B13" s="5" t="inlineStr">
        <is>
          <t>Natal</t>
        </is>
      </c>
    </row>
    <row r="14" ht="15" customHeight="1" s="36" thickBot="1">
      <c r="A14" s="6" t="n">
        <v>41640</v>
      </c>
      <c r="B14" s="7" t="inlineStr">
        <is>
          <t>Confraternização Universal</t>
        </is>
      </c>
    </row>
    <row r="15" ht="15" customHeight="1" s="36" thickBot="1">
      <c r="A15" s="8" t="n">
        <v>41701</v>
      </c>
      <c r="B15" s="9" t="inlineStr">
        <is>
          <t>Carnaval</t>
        </is>
      </c>
    </row>
    <row r="16" ht="15" customHeight="1" s="36" thickBot="1">
      <c r="A16" s="8" t="n">
        <v>41702</v>
      </c>
      <c r="B16" s="9" t="inlineStr">
        <is>
          <t>Carnaval</t>
        </is>
      </c>
    </row>
    <row r="17" ht="15" customHeight="1" s="36" thickBot="1">
      <c r="A17" s="8" t="n">
        <v>41747</v>
      </c>
      <c r="B17" s="9" t="inlineStr">
        <is>
          <t>Paixão de Cristo</t>
        </is>
      </c>
    </row>
    <row r="18" ht="15" customHeight="1" s="36" thickBot="1">
      <c r="A18" s="8" t="n"/>
      <c r="B18" s="9" t="n"/>
    </row>
    <row r="19" ht="15" customHeight="1" s="36" thickBot="1">
      <c r="A19" s="8" t="n"/>
      <c r="B19" s="9" t="n"/>
    </row>
    <row r="20" ht="15" customHeight="1" s="36" thickBot="1">
      <c r="A20" s="8" t="n"/>
      <c r="B20" s="9" t="n"/>
    </row>
    <row r="21" ht="15" customHeight="1" s="36" thickBot="1">
      <c r="A21" s="8" t="n"/>
      <c r="B21" s="9" t="n"/>
    </row>
    <row r="22" ht="15" customHeight="1" s="36" thickBot="1">
      <c r="A22" s="8" t="n">
        <v>41750</v>
      </c>
      <c r="B22" s="9" t="inlineStr">
        <is>
          <t>Tiradentes</t>
        </is>
      </c>
    </row>
    <row r="23" ht="15" customHeight="1" s="36" thickBot="1">
      <c r="A23" s="8" t="n">
        <v>41760</v>
      </c>
      <c r="B23" s="9" t="inlineStr">
        <is>
          <t>Dia do Trabalho</t>
        </is>
      </c>
    </row>
    <row r="24" ht="15" customHeight="1" s="36" thickBot="1">
      <c r="A24" s="8" t="n">
        <v>41809</v>
      </c>
      <c r="B24" s="9" t="inlineStr">
        <is>
          <t>Corpus Christi</t>
        </is>
      </c>
    </row>
    <row r="25" ht="15" customHeight="1" s="36" thickBot="1">
      <c r="A25" s="8" t="n">
        <v>41889</v>
      </c>
      <c r="B25" s="9" t="inlineStr">
        <is>
          <t>Independência do Brasil</t>
        </is>
      </c>
    </row>
    <row r="26" ht="15" customHeight="1" s="36" thickBot="1">
      <c r="A26" s="8" t="n">
        <v>41924</v>
      </c>
      <c r="B26" s="9" t="inlineStr">
        <is>
          <t>Nossa Sr.a Aparecida - Padroeira do Brasil</t>
        </is>
      </c>
    </row>
    <row r="27" ht="15" customHeight="1" s="36" thickBot="1">
      <c r="A27" s="8" t="n">
        <v>41945</v>
      </c>
      <c r="B27" s="9" t="inlineStr">
        <is>
          <t>Finados</t>
        </is>
      </c>
    </row>
    <row r="28" ht="15" customHeight="1" s="36" thickBot="1">
      <c r="A28" s="8" t="n">
        <v>41958</v>
      </c>
      <c r="B28" s="9" t="inlineStr">
        <is>
          <t>Proclamação da República</t>
        </is>
      </c>
    </row>
    <row r="29" ht="15" customHeight="1" s="36" thickBot="1">
      <c r="A29" s="8" t="n">
        <v>41998</v>
      </c>
      <c r="B29" s="9" t="inlineStr">
        <is>
          <t>Natal</t>
        </is>
      </c>
    </row>
    <row r="30" ht="15" customHeight="1" s="36" thickBot="1">
      <c r="A30" s="2" t="n">
        <v>42005</v>
      </c>
      <c r="B30" s="3" t="inlineStr">
        <is>
          <t>Confraternização Universal</t>
        </is>
      </c>
    </row>
    <row r="31" ht="15" customHeight="1" s="36" thickBot="1">
      <c r="A31" s="4" t="n">
        <v>42051</v>
      </c>
      <c r="B31" s="5" t="inlineStr">
        <is>
          <t>Carnaval</t>
        </is>
      </c>
    </row>
    <row r="32" ht="15" customHeight="1" s="36" thickBot="1">
      <c r="A32" s="4" t="n">
        <v>42052</v>
      </c>
      <c r="B32" s="5" t="inlineStr">
        <is>
          <t>Carnaval</t>
        </is>
      </c>
    </row>
    <row r="33" ht="15" customHeight="1" s="36" thickBot="1">
      <c r="A33" s="4" t="n">
        <v>42097</v>
      </c>
      <c r="B33" s="5" t="inlineStr">
        <is>
          <t>Paixão de Cristo</t>
        </is>
      </c>
    </row>
    <row r="34" ht="15" customHeight="1" s="36" thickBot="1">
      <c r="A34" s="4" t="n">
        <v>42115</v>
      </c>
      <c r="B34" s="5" t="inlineStr">
        <is>
          <t>Tiradentes</t>
        </is>
      </c>
    </row>
    <row r="35" ht="15" customHeight="1" s="36" thickBot="1">
      <c r="A35" s="4" t="n">
        <v>42125</v>
      </c>
      <c r="B35" s="5" t="inlineStr">
        <is>
          <t>Dia do Trabalho</t>
        </is>
      </c>
    </row>
    <row r="36" ht="15" customHeight="1" s="36" thickBot="1">
      <c r="A36" s="4" t="n">
        <v>42159</v>
      </c>
      <c r="B36" s="5" t="inlineStr">
        <is>
          <t>Corpus Christi</t>
        </is>
      </c>
    </row>
    <row r="37" ht="15" customHeight="1" s="36" thickBot="1">
      <c r="A37" s="4" t="n">
        <v>42254</v>
      </c>
      <c r="B37" s="5" t="inlineStr">
        <is>
          <t>Independência do Brasil</t>
        </is>
      </c>
    </row>
    <row r="38" ht="15" customHeight="1" s="36" thickBot="1">
      <c r="A38" s="4" t="n">
        <v>42289</v>
      </c>
      <c r="B38" s="5" t="inlineStr">
        <is>
          <t>Nossa Sr.a Aparecida - Padroeira do Brasil</t>
        </is>
      </c>
    </row>
    <row r="39" ht="15" customHeight="1" s="36" thickBot="1">
      <c r="A39" s="4" t="n">
        <v>42310</v>
      </c>
      <c r="B39" s="5" t="inlineStr">
        <is>
          <t>Finados</t>
        </is>
      </c>
    </row>
    <row r="40" ht="15" customHeight="1" s="36" thickBot="1">
      <c r="A40" s="4" t="n">
        <v>42323</v>
      </c>
      <c r="B40" s="5" t="inlineStr">
        <is>
          <t>Proclamação da República</t>
        </is>
      </c>
    </row>
    <row r="41" ht="15" customHeight="1" s="36" thickBot="1">
      <c r="A41" s="4" t="n">
        <v>42363</v>
      </c>
      <c r="B41" s="5" t="inlineStr">
        <is>
          <t>Natal</t>
        </is>
      </c>
    </row>
    <row r="42" ht="15" customHeight="1" s="36" thickBot="1">
      <c r="A42" s="6" t="n">
        <v>42370</v>
      </c>
      <c r="B42" s="7" t="inlineStr">
        <is>
          <t>Confraternização Universal</t>
        </is>
      </c>
    </row>
    <row r="43" ht="15" customHeight="1" s="36" thickBot="1">
      <c r="A43" s="8" t="n">
        <v>42408</v>
      </c>
      <c r="B43" s="9" t="inlineStr">
        <is>
          <t>Carnaval</t>
        </is>
      </c>
    </row>
    <row r="44" ht="15" customHeight="1" s="36" thickBot="1">
      <c r="A44" s="8" t="n">
        <v>42409</v>
      </c>
      <c r="B44" s="9" t="inlineStr">
        <is>
          <t>Carnaval</t>
        </is>
      </c>
    </row>
    <row r="45" ht="15" customHeight="1" s="36" thickBot="1">
      <c r="A45" s="8" t="n">
        <v>42454</v>
      </c>
      <c r="B45" s="9" t="inlineStr">
        <is>
          <t>Paixão de Cristo</t>
        </is>
      </c>
    </row>
    <row r="46" ht="15" customHeight="1" s="36" thickBot="1">
      <c r="A46" s="8" t="n">
        <v>42481</v>
      </c>
      <c r="B46" s="9" t="inlineStr">
        <is>
          <t>Tiradentes</t>
        </is>
      </c>
    </row>
    <row r="47" ht="15" customHeight="1" s="36" thickBot="1">
      <c r="A47" s="8" t="n">
        <v>42491</v>
      </c>
      <c r="B47" s="9" t="inlineStr">
        <is>
          <t>Dia do Trabalho</t>
        </is>
      </c>
    </row>
    <row r="48" ht="15" customHeight="1" s="36" thickBot="1">
      <c r="A48" s="8" t="n">
        <v>42516</v>
      </c>
      <c r="B48" s="9" t="inlineStr">
        <is>
          <t>Corpus Christi</t>
        </is>
      </c>
    </row>
    <row r="49" ht="15" customHeight="1" s="36" thickBot="1">
      <c r="A49" s="8" t="n">
        <v>42620</v>
      </c>
      <c r="B49" s="9" t="inlineStr">
        <is>
          <t>Independência do Brasil</t>
        </is>
      </c>
    </row>
    <row r="50" ht="15" customHeight="1" s="36" thickBot="1">
      <c r="A50" s="8" t="n">
        <v>42655</v>
      </c>
      <c r="B50" s="9" t="inlineStr">
        <is>
          <t>Nossa Sr.a Aparecida - Padroeira do Brasil</t>
        </is>
      </c>
    </row>
    <row r="51" ht="15" customHeight="1" s="36" thickBot="1">
      <c r="A51" s="8" t="n">
        <v>42676</v>
      </c>
      <c r="B51" s="9" t="inlineStr">
        <is>
          <t>Finados</t>
        </is>
      </c>
    </row>
    <row r="52" ht="15" customHeight="1" s="36" thickBot="1">
      <c r="A52" s="8" t="n">
        <v>42689</v>
      </c>
      <c r="B52" s="9" t="inlineStr">
        <is>
          <t>Proclamação da República</t>
        </is>
      </c>
    </row>
    <row r="53" ht="15" customHeight="1" s="36" thickBot="1">
      <c r="A53" s="8" t="n">
        <v>42729</v>
      </c>
      <c r="B53" s="9" t="inlineStr">
        <is>
          <t>Natal</t>
        </is>
      </c>
    </row>
    <row r="54" ht="15" customHeight="1" s="36" thickBot="1">
      <c r="A54" s="2" t="n">
        <v>42736</v>
      </c>
      <c r="B54" s="3" t="inlineStr">
        <is>
          <t>Confraternização Universal</t>
        </is>
      </c>
    </row>
    <row r="55" ht="15" customHeight="1" s="36" thickBot="1">
      <c r="A55" s="4" t="n">
        <v>42793</v>
      </c>
      <c r="B55" s="5" t="inlineStr">
        <is>
          <t>Carnaval</t>
        </is>
      </c>
    </row>
    <row r="56" ht="15" customHeight="1" s="36" thickBot="1">
      <c r="A56" s="4" t="n">
        <v>42794</v>
      </c>
      <c r="B56" s="5" t="inlineStr">
        <is>
          <t>Carnaval</t>
        </is>
      </c>
    </row>
    <row r="57" ht="15" customHeight="1" s="36" thickBot="1">
      <c r="A57" s="4" t="n">
        <v>42839</v>
      </c>
      <c r="B57" s="5" t="inlineStr">
        <is>
          <t>Paixão de Cristo</t>
        </is>
      </c>
    </row>
    <row r="58" ht="15" customHeight="1" s="36" thickBot="1">
      <c r="A58" s="4" t="n">
        <v>42846</v>
      </c>
      <c r="B58" s="5" t="inlineStr">
        <is>
          <t>Tiradentes</t>
        </is>
      </c>
    </row>
    <row r="59" ht="15" customHeight="1" s="36" thickBot="1">
      <c r="A59" s="4" t="n">
        <v>42856</v>
      </c>
      <c r="B59" s="5" t="inlineStr">
        <is>
          <t>Dia do Trabalho</t>
        </is>
      </c>
    </row>
    <row r="60" ht="15" customHeight="1" s="36" thickBot="1">
      <c r="A60" s="4" t="n">
        <v>42901</v>
      </c>
      <c r="B60" s="5" t="inlineStr">
        <is>
          <t>Corpus Christi</t>
        </is>
      </c>
    </row>
    <row r="61" ht="15" customHeight="1" s="36" thickBot="1">
      <c r="A61" s="4" t="n">
        <v>42985</v>
      </c>
      <c r="B61" s="5" t="inlineStr">
        <is>
          <t>Independência do Brasil</t>
        </is>
      </c>
    </row>
    <row r="62" ht="15" customHeight="1" s="36" thickBot="1">
      <c r="A62" s="4" t="n">
        <v>43020</v>
      </c>
      <c r="B62" s="5" t="inlineStr">
        <is>
          <t>Nossa Sr.a Aparecida - Padroeira do Brasil</t>
        </is>
      </c>
    </row>
    <row r="63" ht="15" customHeight="1" s="36" thickBot="1">
      <c r="A63" s="4" t="n">
        <v>43041</v>
      </c>
      <c r="B63" s="5" t="inlineStr">
        <is>
          <t>Finados</t>
        </is>
      </c>
    </row>
    <row r="64" ht="15" customHeight="1" s="36" thickBot="1">
      <c r="A64" s="4" t="n">
        <v>43054</v>
      </c>
      <c r="B64" s="5" t="inlineStr">
        <is>
          <t>Proclamação da República</t>
        </is>
      </c>
    </row>
    <row r="65" ht="15" customHeight="1" s="36" thickBot="1">
      <c r="A65" s="4" t="n">
        <v>43094</v>
      </c>
      <c r="B65" s="5" t="inlineStr">
        <is>
          <t>Natal</t>
        </is>
      </c>
    </row>
    <row r="66" ht="15" customHeight="1" s="36" thickBot="1">
      <c r="A66" s="6" t="n">
        <v>43101</v>
      </c>
      <c r="B66" s="7" t="inlineStr">
        <is>
          <t>Confraternização Universal</t>
        </is>
      </c>
    </row>
    <row r="67" ht="15" customHeight="1" s="36" thickBot="1">
      <c r="A67" s="8" t="n">
        <v>43143</v>
      </c>
      <c r="B67" s="9" t="inlineStr">
        <is>
          <t>Carnaval</t>
        </is>
      </c>
    </row>
    <row r="68" ht="15" customHeight="1" s="36" thickBot="1">
      <c r="A68" s="8" t="n">
        <v>43144</v>
      </c>
      <c r="B68" s="9" t="inlineStr">
        <is>
          <t>Carnaval</t>
        </is>
      </c>
    </row>
    <row r="69" ht="15" customHeight="1" s="36" thickBot="1">
      <c r="A69" s="8" t="n">
        <v>43189</v>
      </c>
      <c r="B69" s="9" t="inlineStr">
        <is>
          <t>Paixão de Cristo</t>
        </is>
      </c>
    </row>
    <row r="70" ht="15" customHeight="1" s="36" thickBot="1">
      <c r="A70" s="8" t="n">
        <v>43211</v>
      </c>
      <c r="B70" s="9" t="inlineStr">
        <is>
          <t>Tiradentes</t>
        </is>
      </c>
    </row>
    <row r="71" ht="15" customHeight="1" s="36" thickBot="1">
      <c r="A71" s="8" t="n">
        <v>43221</v>
      </c>
      <c r="B71" s="9" t="inlineStr">
        <is>
          <t>Dia do Trabalho</t>
        </is>
      </c>
    </row>
    <row r="72" ht="15" customHeight="1" s="36" thickBot="1">
      <c r="A72" s="8" t="n">
        <v>43251</v>
      </c>
      <c r="B72" s="9" t="inlineStr">
        <is>
          <t>Corpus Christi</t>
        </is>
      </c>
    </row>
    <row r="73" ht="15" customHeight="1" s="36" thickBot="1">
      <c r="A73" s="8" t="n">
        <v>43350</v>
      </c>
      <c r="B73" s="9" t="inlineStr">
        <is>
          <t>Independência do Brasil</t>
        </is>
      </c>
    </row>
    <row r="74" ht="15" customHeight="1" s="36" thickBot="1">
      <c r="A74" s="8" t="n">
        <v>43385</v>
      </c>
      <c r="B74" s="9" t="inlineStr">
        <is>
          <t>Nossa Sr.a Aparecida - Padroeira do Brasil</t>
        </is>
      </c>
    </row>
    <row r="75" ht="15" customHeight="1" s="36" thickBot="1">
      <c r="A75" s="8" t="n">
        <v>43406</v>
      </c>
      <c r="B75" s="9" t="inlineStr">
        <is>
          <t>Finados</t>
        </is>
      </c>
    </row>
    <row r="76" ht="15" customHeight="1" s="36" thickBot="1">
      <c r="A76" s="8" t="n">
        <v>43419</v>
      </c>
      <c r="B76" s="9" t="inlineStr">
        <is>
          <t>Proclamação da República</t>
        </is>
      </c>
    </row>
    <row r="77" ht="15" customHeight="1" s="36" thickBot="1">
      <c r="A77" s="8" t="n">
        <v>43459</v>
      </c>
      <c r="B77" s="9" t="inlineStr">
        <is>
          <t>Natal</t>
        </is>
      </c>
    </row>
    <row r="78" ht="15" customHeight="1" s="36" thickBot="1">
      <c r="A78" s="2" t="n">
        <v>43466</v>
      </c>
      <c r="B78" s="3" t="inlineStr">
        <is>
          <t>Confraternização Universal</t>
        </is>
      </c>
    </row>
    <row r="79" ht="15" customHeight="1" s="36" thickBot="1">
      <c r="A79" s="4" t="n">
        <v>43528</v>
      </c>
      <c r="B79" s="5" t="inlineStr">
        <is>
          <t>Carnaval</t>
        </is>
      </c>
    </row>
    <row r="80" ht="15" customHeight="1" s="36" thickBot="1">
      <c r="A80" s="4" t="n">
        <v>43529</v>
      </c>
      <c r="B80" s="5" t="inlineStr">
        <is>
          <t>Carnaval</t>
        </is>
      </c>
    </row>
    <row r="81" ht="15" customHeight="1" s="36" thickBot="1">
      <c r="A81" s="4" t="n">
        <v>43574</v>
      </c>
      <c r="B81" s="5" t="inlineStr">
        <is>
          <t>Paixão de Cristo</t>
        </is>
      </c>
    </row>
    <row r="82" ht="15" customHeight="1" s="36" thickBot="1">
      <c r="A82" s="4" t="n">
        <v>43576</v>
      </c>
      <c r="B82" s="5" t="inlineStr">
        <is>
          <t>Tiradentes</t>
        </is>
      </c>
    </row>
    <row r="83" ht="15" customHeight="1" s="36" thickBot="1">
      <c r="A83" s="4" t="n">
        <v>43586</v>
      </c>
      <c r="B83" s="5" t="inlineStr">
        <is>
          <t>Dia do Trabalho</t>
        </is>
      </c>
    </row>
    <row r="84" ht="15" customHeight="1" s="36" thickBot="1">
      <c r="A84" s="4" t="n">
        <v>43636</v>
      </c>
      <c r="B84" s="5" t="inlineStr">
        <is>
          <t>Corpus Christi</t>
        </is>
      </c>
    </row>
    <row r="85" ht="15" customHeight="1" s="36" thickBot="1">
      <c r="A85" s="4" t="n">
        <v>43715</v>
      </c>
      <c r="B85" s="5" t="inlineStr">
        <is>
          <t>Independência do Brasil</t>
        </is>
      </c>
    </row>
    <row r="86" ht="15" customHeight="1" s="36" thickBot="1">
      <c r="A86" s="4" t="n">
        <v>43750</v>
      </c>
      <c r="B86" s="5" t="inlineStr">
        <is>
          <t>Nossa Sr.a Aparecida - Padroeira do Brasil</t>
        </is>
      </c>
    </row>
    <row r="87" ht="15" customHeight="1" s="36" thickBot="1">
      <c r="A87" s="4" t="n">
        <v>43771</v>
      </c>
      <c r="B87" s="5" t="inlineStr">
        <is>
          <t>Finados</t>
        </is>
      </c>
    </row>
    <row r="88" ht="15" customHeight="1" s="36" thickBot="1">
      <c r="A88" s="4" t="n">
        <v>43784</v>
      </c>
      <c r="B88" s="5" t="inlineStr">
        <is>
          <t>Proclamação da República</t>
        </is>
      </c>
    </row>
    <row r="89" ht="15" customHeight="1" s="36" thickBot="1">
      <c r="A89" s="4" t="n">
        <v>43824</v>
      </c>
      <c r="B89" s="5" t="inlineStr">
        <is>
          <t>Natal</t>
        </is>
      </c>
    </row>
    <row r="90" ht="15" customHeight="1" s="36" thickBot="1">
      <c r="A90" s="6" t="n">
        <v>43831</v>
      </c>
      <c r="B90" s="7" t="inlineStr">
        <is>
          <t>Confraternização Universal</t>
        </is>
      </c>
    </row>
    <row r="91" ht="15" customHeight="1" s="36" thickBot="1">
      <c r="A91" s="8" t="n">
        <v>43885</v>
      </c>
      <c r="B91" s="9" t="inlineStr">
        <is>
          <t>Carnaval</t>
        </is>
      </c>
    </row>
    <row r="92" ht="15" customHeight="1" s="36" thickBot="1">
      <c r="A92" s="8" t="n">
        <v>43886</v>
      </c>
      <c r="B92" s="9" t="inlineStr">
        <is>
          <t>Carnaval</t>
        </is>
      </c>
    </row>
    <row r="93" ht="15" customHeight="1" s="36" thickBot="1">
      <c r="A93" s="8" t="n">
        <v>43931</v>
      </c>
      <c r="B93" s="9" t="inlineStr">
        <is>
          <t>Paixão de Cristo</t>
        </is>
      </c>
    </row>
    <row r="94" ht="15" customHeight="1" s="36" thickBot="1">
      <c r="A94" s="8" t="n">
        <v>43942</v>
      </c>
      <c r="B94" s="9" t="inlineStr">
        <is>
          <t>Tiradentes</t>
        </is>
      </c>
    </row>
    <row r="95" ht="15" customHeight="1" s="36" thickBot="1">
      <c r="A95" s="8" t="n">
        <v>43952</v>
      </c>
      <c r="B95" s="9" t="inlineStr">
        <is>
          <t>Dia do Trabalho</t>
        </is>
      </c>
    </row>
    <row r="96" ht="15" customHeight="1" s="36" thickBot="1">
      <c r="A96" s="8" t="n">
        <v>43993</v>
      </c>
      <c r="B96" s="9" t="inlineStr">
        <is>
          <t>Corpus Christi</t>
        </is>
      </c>
    </row>
    <row r="97" ht="15" customHeight="1" s="36" thickBot="1">
      <c r="A97" s="8" t="n">
        <v>44081</v>
      </c>
      <c r="B97" s="9" t="inlineStr">
        <is>
          <t>Independência do Brasil</t>
        </is>
      </c>
    </row>
    <row r="98" ht="15" customHeight="1" s="36" thickBot="1">
      <c r="A98" s="8" t="n">
        <v>44116</v>
      </c>
      <c r="B98" s="9" t="inlineStr">
        <is>
          <t>Nossa Sr.a Aparecida - Padroeira do Brasil</t>
        </is>
      </c>
    </row>
    <row r="99" ht="15" customHeight="1" s="36" thickBot="1">
      <c r="A99" s="8" t="n">
        <v>44137</v>
      </c>
      <c r="B99" s="9" t="inlineStr">
        <is>
          <t>Finados</t>
        </is>
      </c>
    </row>
    <row r="100" ht="15" customHeight="1" s="36" thickBot="1">
      <c r="A100" s="8" t="n">
        <v>44150</v>
      </c>
      <c r="B100" s="9" t="inlineStr">
        <is>
          <t>Proclamação da República</t>
        </is>
      </c>
    </row>
    <row r="101">
      <c r="A101" s="10" t="n">
        <v>44190</v>
      </c>
      <c r="B101" s="11" t="inlineStr">
        <is>
          <t>Natal</t>
        </is>
      </c>
    </row>
    <row r="102">
      <c r="A102" s="12" t="n">
        <v>41464</v>
      </c>
      <c r="B102" s="13" t="inlineStr">
        <is>
          <t>Revolução Constitucionalista de 1932</t>
        </is>
      </c>
    </row>
    <row r="103">
      <c r="A103" s="12" t="n">
        <v>41829</v>
      </c>
      <c r="B103" s="13" t="inlineStr">
        <is>
          <t>Revolução Constitucionalista de 1932</t>
        </is>
      </c>
    </row>
    <row r="104">
      <c r="A104" s="12" t="n">
        <v>42194</v>
      </c>
      <c r="B104" s="13" t="inlineStr">
        <is>
          <t>Revolução Constitucionalista de 1932</t>
        </is>
      </c>
    </row>
    <row r="105">
      <c r="A105" s="12" t="n">
        <v>42560</v>
      </c>
      <c r="B105" s="13" t="inlineStr">
        <is>
          <t>Revolução Constitucionalista de 1932</t>
        </is>
      </c>
    </row>
    <row r="106">
      <c r="A106" s="12" t="n">
        <v>42925</v>
      </c>
      <c r="B106" s="13" t="inlineStr">
        <is>
          <t>Revolução Constitucionalista de 1932</t>
        </is>
      </c>
    </row>
    <row r="107">
      <c r="A107" s="12" t="n">
        <v>43290</v>
      </c>
      <c r="B107" s="13" t="inlineStr">
        <is>
          <t>Revolução Constitucionalista de 1932</t>
        </is>
      </c>
    </row>
    <row r="108">
      <c r="A108" s="12" t="n">
        <v>43655</v>
      </c>
      <c r="B108" s="13" t="inlineStr">
        <is>
          <t>Revolução Constitucionalista de 1932</t>
        </is>
      </c>
    </row>
    <row r="109">
      <c r="A109" s="12" t="n">
        <v>44021</v>
      </c>
      <c r="B109" s="13" t="inlineStr">
        <is>
          <t>Revolução Constitucionalista de 1932</t>
        </is>
      </c>
    </row>
    <row r="110">
      <c r="A110" s="12" t="n">
        <v>41598</v>
      </c>
      <c r="B110" s="13" t="inlineStr">
        <is>
          <t>Consciencia Negra</t>
        </is>
      </c>
    </row>
    <row r="111">
      <c r="A111" s="12" t="n">
        <v>41963</v>
      </c>
      <c r="B111" s="13" t="inlineStr">
        <is>
          <t>Consciencia Negra</t>
        </is>
      </c>
    </row>
    <row r="112">
      <c r="A112" s="12" t="n">
        <v>42328</v>
      </c>
      <c r="B112" s="13" t="inlineStr">
        <is>
          <t>Consciencia Negra</t>
        </is>
      </c>
    </row>
    <row r="113">
      <c r="A113" s="12" t="n">
        <v>42694</v>
      </c>
      <c r="B113" s="13" t="inlineStr">
        <is>
          <t>Consciencia Negra</t>
        </is>
      </c>
    </row>
    <row r="114">
      <c r="A114" s="12" t="n">
        <v>43059</v>
      </c>
      <c r="B114" s="13" t="inlineStr">
        <is>
          <t>Consciencia Negra</t>
        </is>
      </c>
    </row>
    <row r="115">
      <c r="A115" s="12" t="n">
        <v>43424</v>
      </c>
      <c r="B115" s="13" t="inlineStr">
        <is>
          <t>Consciencia Negra</t>
        </is>
      </c>
    </row>
    <row r="116">
      <c r="A116" s="12" t="n">
        <v>43789</v>
      </c>
      <c r="B116" s="13" t="inlineStr">
        <is>
          <t>Consciencia Negra</t>
        </is>
      </c>
    </row>
    <row r="117">
      <c r="A117" s="12" t="n">
        <v>44155</v>
      </c>
      <c r="B117" s="13" t="inlineStr">
        <is>
          <t>Consciencia Negra</t>
        </is>
      </c>
    </row>
  </sheetData>
  <mergeCells count="1">
    <mergeCell ref="A1:B1"/>
  </mergeCells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Aron Afonso Linhares</dc:creator>
  <dcterms:created xmlns:dcterms="http://purl.org/dc/terms/" xmlns:xsi="http://www.w3.org/2001/XMLSchema-instance" xsi:type="dcterms:W3CDTF">2019-04-04T16:27:59Z</dcterms:created>
  <dcterms:modified xmlns:dcterms="http://purl.org/dc/terms/" xmlns:xsi="http://www.w3.org/2001/XMLSchema-instance" xsi:type="dcterms:W3CDTF">2026-06-13T23:31:04Z</dcterms:modified>
  <cp:lastModifiedBy>Renato</cp:lastModifiedBy>
</cp:coreProperties>
</file>